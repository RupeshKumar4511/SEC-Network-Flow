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1020"/>
  </bookViews>
  <sheets>
    <sheet name="1" sheetId="1" r:id="rId1"/>
    <sheet name="2" sheetId="2" r:id="rId2"/>
    <sheet name="3" sheetId="3" r:id="rId3"/>
    <sheet name="4" sheetId="4" r:id="rId4"/>
    <sheet name="5" sheetId="5" r:id="rId5"/>
    <sheet name="Sheet1" sheetId="6" r:id="rId6"/>
  </sheets>
  <definedNames>
    <definedName name="solver_adj" localSheetId="0" hidden="1">'1'!$D$22:$G$25</definedName>
    <definedName name="solver_adj" localSheetId="1" hidden="1">'2'!$D$22:$H$26</definedName>
    <definedName name="solver_adj" localSheetId="2" hidden="1">'3'!$D$22:$H$26</definedName>
    <definedName name="solver_adj" localSheetId="3" hidden="1">'4'!$D$21:$G$24</definedName>
    <definedName name="solver_adj" localSheetId="4" hidden="1">'5'!$D$21:$H$25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lhs1" localSheetId="0" hidden="1">'1'!$D$26:$G$26</definedName>
    <definedName name="solver_lhs1" localSheetId="1" hidden="1">'2'!$D$27:$H$27</definedName>
    <definedName name="solver_lhs1" localSheetId="2" hidden="1">'3'!$D$27:$H$27</definedName>
    <definedName name="solver_lhs1" localSheetId="3" hidden="1">'4'!$D$25:$G$25</definedName>
    <definedName name="solver_lhs1" localSheetId="4" hidden="1">'5'!$D$26:$H$26</definedName>
    <definedName name="solver_lhs2" localSheetId="0" hidden="1">'1'!$H$22:$H$25</definedName>
    <definedName name="solver_lhs2" localSheetId="1" hidden="1">'2'!$I$22:$I$26</definedName>
    <definedName name="solver_lhs2" localSheetId="2" hidden="1">'3'!$I$22:$I$26</definedName>
    <definedName name="solver_lhs2" localSheetId="3" hidden="1">'4'!$H$21:$H$24</definedName>
    <definedName name="solver_lhs2" localSheetId="4" hidden="1">'5'!$I$21:$I$25</definedName>
    <definedName name="solver_lhs3" localSheetId="1" hidden="1">'2'!$D$22:$H$26</definedName>
    <definedName name="solver_lin" localSheetId="0" hidden="1">2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lin" localSheetId="4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2</definedName>
    <definedName name="solver_neg" localSheetId="1" hidden="1">2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'1'!$H$26</definedName>
    <definedName name="solver_opt" localSheetId="1" hidden="1">'2'!$I$27</definedName>
    <definedName name="solver_opt" localSheetId="2" hidden="1">'3'!$I$27</definedName>
    <definedName name="solver_opt" localSheetId="3" hidden="1">'4'!$H$25</definedName>
    <definedName name="solver_opt" localSheetId="4" hidden="1">'5'!$I$26</definedName>
    <definedName name="solver_pre" localSheetId="0" hidden="1">0.000001</definedName>
    <definedName name="solver_pre" localSheetId="1" hidden="1">0.00001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2</definedName>
    <definedName name="solver_rbv" localSheetId="1" hidden="1">1</definedName>
    <definedName name="solver_rbv" localSheetId="2" hidden="1">2</definedName>
    <definedName name="solver_rbv" localSheetId="3" hidden="1">2</definedName>
    <definedName name="solver_rbv" localSheetId="4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3" localSheetId="1" hidden="1">5</definedName>
    <definedName name="solver_rhs1" localSheetId="0" hidden="1">'1'!$D$28:$G$28</definedName>
    <definedName name="solver_rhs1" localSheetId="1" hidden="1">'2'!$D$29:$H$29</definedName>
    <definedName name="solver_rhs1" localSheetId="2" hidden="1">'3'!$D$29:$H$29</definedName>
    <definedName name="solver_rhs1" localSheetId="3" hidden="1">'4'!$D$27:$G$27</definedName>
    <definedName name="solver_rhs1" localSheetId="4" hidden="1">'5'!$D$28:$H$28</definedName>
    <definedName name="solver_rhs2" localSheetId="0" hidden="1">'1'!$J$22:$J$25</definedName>
    <definedName name="solver_rhs2" localSheetId="1" hidden="1">'2'!$K$22:$K$26</definedName>
    <definedName name="solver_rhs2" localSheetId="2" hidden="1">'3'!$K$22:$K$26</definedName>
    <definedName name="solver_rhs2" localSheetId="3" hidden="1">'4'!$J$21:$J$24</definedName>
    <definedName name="solver_rhs2" localSheetId="4" hidden="1">'5'!$K$21:$K$25</definedName>
    <definedName name="solver_rhs3" localSheetId="1" hidden="1">binary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ol" localSheetId="0" hidden="1">0.05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5"/>
  <c r="I22"/>
  <c r="I23"/>
  <c r="I24"/>
  <c r="I25"/>
  <c r="I21"/>
  <c r="E26"/>
  <c r="F26"/>
  <c r="G26"/>
  <c r="H26"/>
  <c r="D26"/>
  <c r="H25" i="4"/>
  <c r="H22"/>
  <c r="H23"/>
  <c r="H24"/>
  <c r="H21"/>
  <c r="E25"/>
  <c r="F25"/>
  <c r="G25"/>
  <c r="D25"/>
  <c r="I27" i="3"/>
  <c r="E27"/>
  <c r="F27"/>
  <c r="G27"/>
  <c r="H27"/>
  <c r="D27"/>
  <c r="I23"/>
  <c r="I24"/>
  <c r="I25"/>
  <c r="I26"/>
  <c r="I22"/>
  <c r="H26" i="1"/>
  <c r="I27" i="2"/>
  <c r="E27"/>
  <c r="F27"/>
  <c r="G27"/>
  <c r="H27"/>
  <c r="D27"/>
  <c r="I23"/>
  <c r="I24"/>
  <c r="I25"/>
  <c r="I26"/>
  <c r="I22"/>
  <c r="E26" i="1" l="1"/>
  <c r="F26"/>
  <c r="G26"/>
  <c r="D26"/>
  <c r="H23"/>
  <c r="H24"/>
  <c r="H25"/>
  <c r="H22"/>
</calcChain>
</file>

<file path=xl/sharedStrings.xml><?xml version="1.0" encoding="utf-8"?>
<sst xmlns="http://schemas.openxmlformats.org/spreadsheetml/2006/main" count="212" uniqueCount="40">
  <si>
    <t xml:space="preserve">Assignment Problem </t>
  </si>
  <si>
    <t xml:space="preserve"> </t>
  </si>
  <si>
    <t>Persons</t>
  </si>
  <si>
    <t>A</t>
  </si>
  <si>
    <t>B</t>
  </si>
  <si>
    <t>C</t>
  </si>
  <si>
    <t>D</t>
  </si>
  <si>
    <t>J1</t>
  </si>
  <si>
    <t>J2</t>
  </si>
  <si>
    <t>J3</t>
  </si>
  <si>
    <t>J4</t>
  </si>
  <si>
    <t>COST</t>
  </si>
  <si>
    <t>SOLUTION</t>
  </si>
  <si>
    <t>PERSONS</t>
  </si>
  <si>
    <t>EQUAL</t>
  </si>
  <si>
    <t>TOTAL</t>
  </si>
  <si>
    <t>JOBS</t>
  </si>
  <si>
    <t>Cost</t>
  </si>
  <si>
    <t>E</t>
  </si>
  <si>
    <t>J5</t>
  </si>
  <si>
    <t>Question - 5</t>
  </si>
  <si>
    <t>PRACTICAL - 1</t>
  </si>
  <si>
    <t>Practical - 1</t>
  </si>
  <si>
    <t>Question - 3</t>
  </si>
  <si>
    <t>Question - 2</t>
  </si>
  <si>
    <t xml:space="preserve">Name - </t>
  </si>
  <si>
    <t>Course -</t>
  </si>
  <si>
    <t xml:space="preserve">Roll No. - </t>
  </si>
  <si>
    <t>Question - 1</t>
  </si>
  <si>
    <t>Question - 4</t>
  </si>
  <si>
    <t>Supply</t>
  </si>
  <si>
    <t>Demand</t>
  </si>
  <si>
    <t>Row Sum</t>
  </si>
  <si>
    <t>col sum</t>
  </si>
  <si>
    <t>row sum</t>
  </si>
  <si>
    <t>Total</t>
  </si>
  <si>
    <t>equal</t>
  </si>
  <si>
    <t>Min cost of assignment</t>
  </si>
  <si>
    <t>supply</t>
  </si>
  <si>
    <t>demand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</si>
</sst>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2" applyNumberFormat="0" applyAlignment="0" applyProtection="0"/>
    <xf numFmtId="0" fontId="1" fillId="6" borderId="3" applyNumberFormat="0" applyFon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5" fillId="10" borderId="1" applyNumberForma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</cellStyleXfs>
  <cellXfs count="23">
    <xf numFmtId="0" fontId="0" fillId="0" borderId="0" xfId="0"/>
    <xf numFmtId="0" fontId="4" fillId="4" borderId="1" xfId="3"/>
    <xf numFmtId="0" fontId="3" fillId="3" borderId="0" xfId="2"/>
    <xf numFmtId="0" fontId="0" fillId="6" borderId="3" xfId="5" applyFont="1"/>
    <xf numFmtId="0" fontId="6" fillId="5" borderId="2" xfId="4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1" xfId="1" applyBorder="1"/>
    <xf numFmtId="0" fontId="7" fillId="7" borderId="0" xfId="6"/>
    <xf numFmtId="0" fontId="7" fillId="8" borderId="0" xfId="7"/>
    <xf numFmtId="0" fontId="5" fillId="6" borderId="3" xfId="5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9" borderId="0" xfId="0" applyFill="1"/>
    <xf numFmtId="0" fontId="2" fillId="9" borderId="0" xfId="1" applyFill="1"/>
    <xf numFmtId="0" fontId="2" fillId="9" borderId="1" xfId="1" applyFill="1" applyBorder="1"/>
    <xf numFmtId="0" fontId="0" fillId="6" borderId="0" xfId="5" applyFont="1" applyBorder="1"/>
    <xf numFmtId="0" fontId="5" fillId="10" borderId="1" xfId="8"/>
    <xf numFmtId="0" fontId="7" fillId="12" borderId="0" xfId="10"/>
    <xf numFmtId="0" fontId="7" fillId="11" borderId="0" xfId="9"/>
    <xf numFmtId="0" fontId="7" fillId="13" borderId="0" xfId="11"/>
  </cellXfs>
  <cellStyles count="12">
    <cellStyle name="60% - Accent4" xfId="10" builtinId="44"/>
    <cellStyle name="60% - Accent5" xfId="7" builtinId="48"/>
    <cellStyle name="60% - Accent6" xfId="11" builtinId="52"/>
    <cellStyle name="Accent1" xfId="9" builtinId="29"/>
    <cellStyle name="Accent2" xfId="6" builtinId="33"/>
    <cellStyle name="Calculation" xfId="8" builtinId="22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topLeftCell="A10" zoomScaleNormal="100" workbookViewId="0">
      <selection activeCell="H17" sqref="H17"/>
    </sheetView>
  </sheetViews>
  <sheetFormatPr defaultRowHeight="14.5"/>
  <cols>
    <col min="1" max="1" width="39.81640625" customWidth="1"/>
  </cols>
  <sheetData>
    <row r="1" spans="1:11" ht="26">
      <c r="F1" s="12" t="s">
        <v>22</v>
      </c>
      <c r="G1" s="12"/>
    </row>
    <row r="3" spans="1:11" ht="23.5">
      <c r="F3" s="6" t="s">
        <v>0</v>
      </c>
      <c r="G3" s="6"/>
      <c r="H3" s="13"/>
    </row>
    <row r="5" spans="1:11" ht="21">
      <c r="A5" s="5" t="s">
        <v>25</v>
      </c>
      <c r="J5" s="7"/>
      <c r="K5" s="7"/>
    </row>
    <row r="6" spans="1:11" ht="21">
      <c r="A6" s="5" t="s">
        <v>26</v>
      </c>
      <c r="J6" s="7"/>
      <c r="K6" s="7"/>
    </row>
    <row r="7" spans="1:11" ht="21">
      <c r="A7" s="5" t="s">
        <v>27</v>
      </c>
      <c r="B7" t="s">
        <v>1</v>
      </c>
      <c r="J7" s="7"/>
      <c r="K7" s="7"/>
    </row>
    <row r="10" spans="1:11" ht="18.5">
      <c r="A10" s="7" t="s">
        <v>28</v>
      </c>
      <c r="B10" t="s">
        <v>11</v>
      </c>
    </row>
    <row r="11" spans="1:11">
      <c r="E11" t="s">
        <v>16</v>
      </c>
    </row>
    <row r="12" spans="1:11">
      <c r="D12" s="3" t="s">
        <v>7</v>
      </c>
      <c r="E12" s="3" t="s">
        <v>8</v>
      </c>
      <c r="F12" s="3" t="s">
        <v>9</v>
      </c>
      <c r="G12" s="3" t="s">
        <v>10</v>
      </c>
    </row>
    <row r="13" spans="1:11">
      <c r="C13" s="3" t="s">
        <v>3</v>
      </c>
      <c r="D13" s="1">
        <v>8</v>
      </c>
      <c r="E13" s="1">
        <v>6</v>
      </c>
      <c r="F13" s="1">
        <v>10</v>
      </c>
      <c r="G13" s="1">
        <v>9</v>
      </c>
    </row>
    <row r="14" spans="1:11">
      <c r="B14" t="s">
        <v>2</v>
      </c>
      <c r="C14" s="3" t="s">
        <v>4</v>
      </c>
      <c r="D14" s="1">
        <v>9</v>
      </c>
      <c r="E14" s="1">
        <v>12</v>
      </c>
      <c r="F14" s="1">
        <v>13</v>
      </c>
      <c r="G14" s="1">
        <v>7</v>
      </c>
    </row>
    <row r="15" spans="1:11">
      <c r="C15" s="3" t="s">
        <v>5</v>
      </c>
      <c r="D15" s="1">
        <v>14</v>
      </c>
      <c r="E15" s="1">
        <v>9</v>
      </c>
      <c r="F15" s="1">
        <v>16</v>
      </c>
      <c r="G15" s="1">
        <v>5</v>
      </c>
    </row>
    <row r="16" spans="1:11">
      <c r="C16" s="3" t="s">
        <v>6</v>
      </c>
      <c r="D16" s="1">
        <v>5</v>
      </c>
      <c r="E16" s="1">
        <v>8</v>
      </c>
      <c r="F16" s="1">
        <v>3</v>
      </c>
      <c r="G16" s="1">
        <v>12</v>
      </c>
    </row>
    <row r="19" spans="2:10">
      <c r="B19" t="s">
        <v>12</v>
      </c>
    </row>
    <row r="20" spans="2:10" ht="15" thickBot="1">
      <c r="E20" t="s">
        <v>16</v>
      </c>
      <c r="H20" t="s">
        <v>32</v>
      </c>
    </row>
    <row r="21" spans="2:10" ht="15.5" thickTop="1" thickBot="1">
      <c r="D21" s="3" t="s">
        <v>7</v>
      </c>
      <c r="E21" s="3" t="s">
        <v>8</v>
      </c>
      <c r="F21" s="3" t="s">
        <v>9</v>
      </c>
      <c r="G21" s="3" t="s">
        <v>10</v>
      </c>
      <c r="H21" s="4" t="s">
        <v>15</v>
      </c>
      <c r="J21" s="18" t="s">
        <v>30</v>
      </c>
    </row>
    <row r="22" spans="2:10" ht="15" thickTop="1">
      <c r="C22" s="3" t="s">
        <v>3</v>
      </c>
      <c r="D22" s="2">
        <v>0</v>
      </c>
      <c r="E22" s="2">
        <v>1</v>
      </c>
      <c r="F22" s="2">
        <v>0</v>
      </c>
      <c r="G22" s="2">
        <v>0</v>
      </c>
      <c r="H22" s="9">
        <f>SUM(D22:G22)</f>
        <v>1</v>
      </c>
      <c r="I22" t="s">
        <v>14</v>
      </c>
      <c r="J22" s="10">
        <v>1</v>
      </c>
    </row>
    <row r="23" spans="2:10">
      <c r="C23" s="3" t="s">
        <v>4</v>
      </c>
      <c r="D23" s="2">
        <v>1.0000000000000002</v>
      </c>
      <c r="E23" s="2">
        <v>0</v>
      </c>
      <c r="F23" s="2">
        <v>0</v>
      </c>
      <c r="G23" s="2">
        <v>0</v>
      </c>
      <c r="H23" s="9">
        <f t="shared" ref="H23:H25" si="0">SUM(D23:G23)</f>
        <v>1.0000000000000002</v>
      </c>
      <c r="I23" t="s">
        <v>14</v>
      </c>
      <c r="J23" s="10">
        <v>1</v>
      </c>
    </row>
    <row r="24" spans="2:10">
      <c r="B24" t="s">
        <v>13</v>
      </c>
      <c r="C24" s="3" t="s">
        <v>5</v>
      </c>
      <c r="D24" s="2">
        <v>0</v>
      </c>
      <c r="E24" s="2">
        <v>0</v>
      </c>
      <c r="F24" s="2">
        <v>0</v>
      </c>
      <c r="G24" s="2">
        <v>1</v>
      </c>
      <c r="H24" s="9">
        <f t="shared" si="0"/>
        <v>1</v>
      </c>
      <c r="I24" t="s">
        <v>14</v>
      </c>
      <c r="J24" s="10">
        <v>1</v>
      </c>
    </row>
    <row r="25" spans="2:10" ht="15" thickBot="1">
      <c r="C25" s="3" t="s">
        <v>6</v>
      </c>
      <c r="D25" s="2">
        <v>0</v>
      </c>
      <c r="E25" s="2">
        <v>0</v>
      </c>
      <c r="F25" s="2">
        <v>1.0000000000000002</v>
      </c>
      <c r="G25" s="2">
        <v>0</v>
      </c>
      <c r="H25" s="9">
        <f t="shared" si="0"/>
        <v>1.0000000000000002</v>
      </c>
      <c r="I25" t="s">
        <v>14</v>
      </c>
      <c r="J25" s="10">
        <v>1</v>
      </c>
    </row>
    <row r="26" spans="2:10" ht="15.5" thickTop="1" thickBot="1">
      <c r="B26" t="s">
        <v>33</v>
      </c>
      <c r="C26" s="4" t="s">
        <v>15</v>
      </c>
      <c r="D26" s="9">
        <f>SUM(D22:D25)</f>
        <v>1.0000000000000002</v>
      </c>
      <c r="E26" s="9">
        <f t="shared" ref="E26:G26" si="1">SUM(E22:E25)</f>
        <v>1</v>
      </c>
      <c r="F26" s="9">
        <f t="shared" si="1"/>
        <v>1.0000000000000002</v>
      </c>
      <c r="G26" s="9">
        <f t="shared" si="1"/>
        <v>1</v>
      </c>
      <c r="H26" s="8">
        <f>SUMPRODUCT(D13:G16,D22:G25)</f>
        <v>23</v>
      </c>
    </row>
    <row r="27" spans="2:10" ht="15" thickTop="1">
      <c r="D27" t="s">
        <v>14</v>
      </c>
      <c r="E27" t="s">
        <v>14</v>
      </c>
      <c r="F27" t="s">
        <v>14</v>
      </c>
      <c r="G27" t="s">
        <v>14</v>
      </c>
    </row>
    <row r="28" spans="2:10">
      <c r="C28" s="18" t="s">
        <v>31</v>
      </c>
      <c r="D28" s="10">
        <v>1</v>
      </c>
      <c r="E28" s="10">
        <v>1</v>
      </c>
      <c r="F28" s="10">
        <v>1</v>
      </c>
      <c r="G28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3"/>
  <sheetViews>
    <sheetView topLeftCell="A10" workbookViewId="0">
      <selection activeCell="J30" sqref="J30"/>
    </sheetView>
  </sheetViews>
  <sheetFormatPr defaultRowHeight="14.5"/>
  <cols>
    <col min="1" max="1" width="40.453125" bestFit="1" customWidth="1"/>
  </cols>
  <sheetData>
    <row r="1" spans="1:14" ht="26">
      <c r="F1" s="12" t="s">
        <v>22</v>
      </c>
      <c r="G1" s="12"/>
    </row>
    <row r="3" spans="1:14" ht="23.5">
      <c r="F3" s="6" t="s">
        <v>0</v>
      </c>
      <c r="G3" s="6"/>
      <c r="H3" s="13"/>
    </row>
    <row r="5" spans="1:14" ht="21">
      <c r="A5" s="5" t="s">
        <v>25</v>
      </c>
      <c r="M5" s="7"/>
      <c r="N5" s="7"/>
    </row>
    <row r="6" spans="1:14" ht="21">
      <c r="A6" s="5" t="s">
        <v>26</v>
      </c>
      <c r="M6" s="7"/>
      <c r="N6" s="7"/>
    </row>
    <row r="7" spans="1:14" ht="21">
      <c r="A7" s="5" t="s">
        <v>27</v>
      </c>
      <c r="M7" s="7"/>
      <c r="N7" s="7"/>
    </row>
    <row r="9" spans="1:14">
      <c r="B9" t="s">
        <v>17</v>
      </c>
    </row>
    <row r="10" spans="1:14" ht="18.5">
      <c r="A10" s="7" t="s">
        <v>24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</row>
    <row r="11" spans="1:14">
      <c r="C11" s="11" t="s">
        <v>3</v>
      </c>
      <c r="D11" s="1">
        <v>85</v>
      </c>
      <c r="E11" s="1">
        <v>75</v>
      </c>
      <c r="F11" s="1">
        <v>65</v>
      </c>
      <c r="G11" s="1">
        <v>125</v>
      </c>
      <c r="H11" s="1">
        <v>75</v>
      </c>
    </row>
    <row r="12" spans="1:14">
      <c r="B12" t="s">
        <v>2</v>
      </c>
      <c r="C12" s="11" t="s">
        <v>4</v>
      </c>
      <c r="D12" s="1">
        <v>90</v>
      </c>
      <c r="E12" s="1">
        <v>78</v>
      </c>
      <c r="F12" s="1">
        <v>66</v>
      </c>
      <c r="G12" s="1">
        <v>132</v>
      </c>
      <c r="H12" s="1">
        <v>78</v>
      </c>
    </row>
    <row r="13" spans="1:14">
      <c r="C13" s="11" t="s">
        <v>5</v>
      </c>
      <c r="D13" s="1">
        <v>75</v>
      </c>
      <c r="E13" s="1">
        <v>66</v>
      </c>
      <c r="F13" s="1">
        <v>57</v>
      </c>
      <c r="G13" s="1">
        <v>114</v>
      </c>
      <c r="H13" s="1">
        <v>69</v>
      </c>
    </row>
    <row r="14" spans="1:14">
      <c r="C14" s="11" t="s">
        <v>6</v>
      </c>
      <c r="D14" s="1">
        <v>80</v>
      </c>
      <c r="E14" s="1">
        <v>72</v>
      </c>
      <c r="F14" s="1">
        <v>60</v>
      </c>
      <c r="G14" s="1">
        <v>120</v>
      </c>
      <c r="H14" s="1">
        <v>72</v>
      </c>
    </row>
    <row r="15" spans="1:14">
      <c r="C15" s="11" t="s">
        <v>18</v>
      </c>
      <c r="D15" s="1">
        <v>76</v>
      </c>
      <c r="E15" s="1">
        <v>64</v>
      </c>
      <c r="F15" s="1">
        <v>56</v>
      </c>
      <c r="G15" s="1">
        <v>112</v>
      </c>
      <c r="H15" s="1">
        <v>68</v>
      </c>
    </row>
    <row r="18" spans="2:1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2:12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>
      <c r="B20" s="15"/>
      <c r="C20" s="15"/>
      <c r="D20" s="15"/>
      <c r="E20" s="15"/>
      <c r="F20" s="15"/>
      <c r="G20" s="15"/>
      <c r="H20" s="15"/>
      <c r="I20" s="15" t="s">
        <v>34</v>
      </c>
      <c r="J20" s="15"/>
      <c r="K20" s="15"/>
      <c r="L20" s="15"/>
    </row>
    <row r="21" spans="2:12">
      <c r="B21" s="15"/>
      <c r="D21" s="3" t="s">
        <v>7</v>
      </c>
      <c r="E21" s="3" t="s">
        <v>8</v>
      </c>
      <c r="F21" s="3" t="s">
        <v>9</v>
      </c>
      <c r="G21" s="3" t="s">
        <v>10</v>
      </c>
      <c r="H21" s="3" t="s">
        <v>19</v>
      </c>
      <c r="I21" s="19" t="s">
        <v>35</v>
      </c>
      <c r="J21" s="15"/>
      <c r="K21" s="15" t="s">
        <v>30</v>
      </c>
      <c r="L21" s="15"/>
    </row>
    <row r="22" spans="2:12">
      <c r="B22" s="15"/>
      <c r="C22" s="11" t="s">
        <v>3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22">
        <f>SUM(D22:H22)</f>
        <v>1</v>
      </c>
      <c r="J22" s="15" t="s">
        <v>36</v>
      </c>
      <c r="K22" s="20">
        <v>1</v>
      </c>
      <c r="L22" s="15"/>
    </row>
    <row r="23" spans="2:12">
      <c r="B23" s="15"/>
      <c r="C23" s="11" t="s">
        <v>4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22">
        <f t="shared" ref="I23:I26" si="0">SUM(D23:H23)</f>
        <v>1</v>
      </c>
      <c r="J23" s="15" t="s">
        <v>36</v>
      </c>
      <c r="K23" s="20">
        <v>1</v>
      </c>
      <c r="L23" s="15"/>
    </row>
    <row r="24" spans="2:12">
      <c r="B24" s="15"/>
      <c r="C24" s="11" t="s">
        <v>5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22">
        <f t="shared" si="0"/>
        <v>1</v>
      </c>
      <c r="J24" s="15" t="s">
        <v>36</v>
      </c>
      <c r="K24" s="20">
        <v>1</v>
      </c>
      <c r="L24" s="15"/>
    </row>
    <row r="25" spans="2:12">
      <c r="B25" s="15"/>
      <c r="C25" s="11" t="s">
        <v>6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22">
        <f t="shared" si="0"/>
        <v>1</v>
      </c>
      <c r="J25" s="15" t="s">
        <v>36</v>
      </c>
      <c r="K25" s="20">
        <v>1</v>
      </c>
      <c r="L25" s="15"/>
    </row>
    <row r="26" spans="2:12">
      <c r="B26" s="15"/>
      <c r="C26" s="11" t="s">
        <v>18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22">
        <f t="shared" si="0"/>
        <v>1</v>
      </c>
      <c r="J26" s="15" t="s">
        <v>36</v>
      </c>
      <c r="K26" s="20">
        <v>1</v>
      </c>
      <c r="L26" s="15"/>
    </row>
    <row r="27" spans="2:12">
      <c r="B27" s="15" t="s">
        <v>33</v>
      </c>
      <c r="C27" s="19" t="s">
        <v>35</v>
      </c>
      <c r="D27" s="10">
        <f>SUM(D22:D26)</f>
        <v>1</v>
      </c>
      <c r="E27" s="10">
        <f t="shared" ref="E27:H27" si="1">SUM(E22:E26)</f>
        <v>1</v>
      </c>
      <c r="F27" s="10">
        <f t="shared" si="1"/>
        <v>1</v>
      </c>
      <c r="G27" s="10">
        <f t="shared" si="1"/>
        <v>1</v>
      </c>
      <c r="H27" s="10">
        <f t="shared" si="1"/>
        <v>1</v>
      </c>
      <c r="I27" s="2">
        <f>SUMPRODUCT(D11:H15,D22:H26)</f>
        <v>399</v>
      </c>
      <c r="J27" s="15" t="s">
        <v>37</v>
      </c>
      <c r="K27" s="15"/>
      <c r="L27" s="15"/>
    </row>
    <row r="28" spans="2:12">
      <c r="B28" s="15"/>
      <c r="C28" s="15"/>
      <c r="D28" s="15" t="s">
        <v>36</v>
      </c>
      <c r="E28" s="15" t="s">
        <v>36</v>
      </c>
      <c r="F28" s="15" t="s">
        <v>36</v>
      </c>
      <c r="G28" s="15" t="s">
        <v>36</v>
      </c>
      <c r="H28" s="15" t="s">
        <v>36</v>
      </c>
      <c r="I28" s="15"/>
      <c r="J28" s="15"/>
      <c r="K28" s="15"/>
      <c r="L28" s="15"/>
    </row>
    <row r="29" spans="2:12">
      <c r="B29" s="15"/>
      <c r="C29" s="15" t="s">
        <v>31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15"/>
      <c r="J29" s="15"/>
      <c r="K29" s="15"/>
      <c r="L29" s="15"/>
    </row>
    <row r="30" spans="2:1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2:1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2:1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2:1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1"/>
  <sheetViews>
    <sheetView topLeftCell="A8" workbookViewId="0">
      <selection activeCell="I27" sqref="I27"/>
    </sheetView>
  </sheetViews>
  <sheetFormatPr defaultRowHeight="14.5"/>
  <cols>
    <col min="1" max="1" width="41.1796875" customWidth="1"/>
  </cols>
  <sheetData>
    <row r="1" spans="1:14" ht="26">
      <c r="G1" s="12" t="s">
        <v>22</v>
      </c>
      <c r="H1" s="12"/>
    </row>
    <row r="3" spans="1:14" ht="23.5">
      <c r="G3" s="6" t="s">
        <v>0</v>
      </c>
      <c r="H3" s="6"/>
      <c r="I3" s="13"/>
    </row>
    <row r="4" spans="1:14">
      <c r="K4" t="s">
        <v>1</v>
      </c>
    </row>
    <row r="5" spans="1:14" ht="21">
      <c r="A5" s="5" t="s">
        <v>25</v>
      </c>
    </row>
    <row r="6" spans="1:14" ht="21">
      <c r="A6" s="5" t="s">
        <v>26</v>
      </c>
      <c r="M6" s="7"/>
      <c r="N6" s="7"/>
    </row>
    <row r="7" spans="1:14" ht="21">
      <c r="A7" s="5" t="s">
        <v>27</v>
      </c>
      <c r="M7" s="7"/>
      <c r="N7" s="7"/>
    </row>
    <row r="9" spans="1:14">
      <c r="B9" t="s">
        <v>17</v>
      </c>
    </row>
    <row r="10" spans="1:14" ht="18.5">
      <c r="A10" s="7" t="s">
        <v>23</v>
      </c>
      <c r="B10" s="14"/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</row>
    <row r="11" spans="1:14">
      <c r="C11" s="11" t="s">
        <v>3</v>
      </c>
      <c r="D11" s="1">
        <v>7</v>
      </c>
      <c r="E11" s="1">
        <v>8</v>
      </c>
      <c r="F11" s="1">
        <v>6</v>
      </c>
      <c r="G11" s="1">
        <v>5</v>
      </c>
      <c r="H11" s="1">
        <v>9</v>
      </c>
    </row>
    <row r="12" spans="1:14">
      <c r="B12" t="s">
        <v>2</v>
      </c>
      <c r="C12" s="11" t="s">
        <v>4</v>
      </c>
      <c r="D12" s="1">
        <v>9</v>
      </c>
      <c r="E12" s="1">
        <v>6</v>
      </c>
      <c r="F12" s="1">
        <v>7</v>
      </c>
      <c r="G12" s="1">
        <v>6</v>
      </c>
      <c r="H12" s="1">
        <v>10</v>
      </c>
    </row>
    <row r="13" spans="1:14">
      <c r="C13" s="11" t="s">
        <v>5</v>
      </c>
      <c r="D13" s="1">
        <v>8</v>
      </c>
      <c r="E13" s="1">
        <v>7</v>
      </c>
      <c r="F13" s="1">
        <v>9</v>
      </c>
      <c r="G13" s="1">
        <v>5</v>
      </c>
      <c r="H13" s="1">
        <v>6</v>
      </c>
    </row>
    <row r="14" spans="1:14">
      <c r="C14" s="11" t="s">
        <v>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14">
      <c r="C15" s="11" t="s">
        <v>18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8" spans="2:1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2:1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2:13">
      <c r="B21" s="15"/>
      <c r="D21" s="3" t="s">
        <v>7</v>
      </c>
      <c r="E21" s="3" t="s">
        <v>8</v>
      </c>
      <c r="F21" s="3" t="s">
        <v>9</v>
      </c>
      <c r="G21" s="3" t="s">
        <v>10</v>
      </c>
      <c r="H21" s="3" t="s">
        <v>19</v>
      </c>
      <c r="I21" s="19" t="s">
        <v>35</v>
      </c>
      <c r="J21" s="15"/>
      <c r="K21" s="15" t="s">
        <v>38</v>
      </c>
      <c r="L21" s="15"/>
      <c r="M21" s="15"/>
    </row>
    <row r="22" spans="2:13">
      <c r="B22" s="15"/>
      <c r="C22" s="11" t="s">
        <v>3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22">
        <f>SUM(D22:H22)</f>
        <v>1</v>
      </c>
      <c r="J22" s="15" t="s">
        <v>36</v>
      </c>
      <c r="K22" s="20">
        <v>1</v>
      </c>
      <c r="L22" s="15"/>
      <c r="M22" s="15"/>
    </row>
    <row r="23" spans="2:13">
      <c r="B23" s="15"/>
      <c r="C23" s="11" t="s">
        <v>4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22">
        <f t="shared" ref="I23:I26" si="0">SUM(D23:H23)</f>
        <v>1</v>
      </c>
      <c r="J23" s="15" t="s">
        <v>36</v>
      </c>
      <c r="K23" s="20">
        <v>1</v>
      </c>
      <c r="L23" s="15"/>
      <c r="M23" s="15"/>
    </row>
    <row r="24" spans="2:13">
      <c r="B24" s="15"/>
      <c r="C24" s="11" t="s">
        <v>5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22">
        <f t="shared" si="0"/>
        <v>1</v>
      </c>
      <c r="J24" s="15" t="s">
        <v>36</v>
      </c>
      <c r="K24" s="20">
        <v>1</v>
      </c>
      <c r="L24" s="15"/>
      <c r="M24" s="15"/>
    </row>
    <row r="25" spans="2:13">
      <c r="B25" s="15"/>
      <c r="C25" s="11" t="s">
        <v>6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22">
        <f t="shared" si="0"/>
        <v>1</v>
      </c>
      <c r="J25" s="15" t="s">
        <v>36</v>
      </c>
      <c r="K25" s="20">
        <v>1</v>
      </c>
      <c r="L25" s="15"/>
      <c r="M25" s="15"/>
    </row>
    <row r="26" spans="2:13">
      <c r="B26" s="15"/>
      <c r="C26" s="11" t="s">
        <v>18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22">
        <f t="shared" si="0"/>
        <v>1</v>
      </c>
      <c r="J26" s="15" t="s">
        <v>36</v>
      </c>
      <c r="K26" s="20">
        <v>1</v>
      </c>
      <c r="L26" s="15"/>
      <c r="M26" s="15"/>
    </row>
    <row r="27" spans="2:13">
      <c r="B27" s="15"/>
      <c r="C27" s="19" t="s">
        <v>35</v>
      </c>
      <c r="D27" s="10">
        <f>SUM(D22:D26)</f>
        <v>1</v>
      </c>
      <c r="E27" s="10">
        <f t="shared" ref="E27:H27" si="1">SUM(E22:E26)</f>
        <v>1</v>
      </c>
      <c r="F27" s="10">
        <f t="shared" si="1"/>
        <v>1</v>
      </c>
      <c r="G27" s="10">
        <f t="shared" si="1"/>
        <v>1</v>
      </c>
      <c r="H27" s="10">
        <f t="shared" si="1"/>
        <v>1</v>
      </c>
      <c r="I27" s="19">
        <f>SUMPRODUCT(D11:H15,D22:H26)</f>
        <v>17</v>
      </c>
      <c r="J27" s="15"/>
      <c r="K27" s="15"/>
      <c r="L27" s="15"/>
      <c r="M27" s="15"/>
    </row>
    <row r="28" spans="2:13">
      <c r="B28" s="15"/>
      <c r="C28" s="15"/>
      <c r="D28" s="15" t="s">
        <v>36</v>
      </c>
      <c r="E28" s="15" t="s">
        <v>36</v>
      </c>
      <c r="F28" s="15" t="s">
        <v>36</v>
      </c>
      <c r="G28" s="15" t="s">
        <v>36</v>
      </c>
      <c r="H28" s="15" t="s">
        <v>36</v>
      </c>
      <c r="I28" s="15"/>
      <c r="J28" s="15"/>
      <c r="K28" s="15"/>
      <c r="L28" s="15"/>
      <c r="M28" s="15"/>
    </row>
    <row r="29" spans="2:13">
      <c r="B29" s="15"/>
      <c r="C29" s="15" t="s">
        <v>31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15"/>
      <c r="J29" s="15"/>
      <c r="K29" s="15"/>
      <c r="L29" s="15"/>
      <c r="M29" s="15"/>
    </row>
    <row r="30" spans="2:1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2:1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2:1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2:1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2:1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2:1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2:1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2:1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0"/>
  <sheetViews>
    <sheetView topLeftCell="A7" workbookViewId="0">
      <selection activeCell="H25" sqref="H25"/>
    </sheetView>
  </sheetViews>
  <sheetFormatPr defaultRowHeight="14.5"/>
  <cols>
    <col min="1" max="1" width="40.7265625" customWidth="1"/>
  </cols>
  <sheetData>
    <row r="1" spans="1:11" ht="26">
      <c r="E1" s="12" t="s">
        <v>22</v>
      </c>
      <c r="F1" s="12"/>
    </row>
    <row r="3" spans="1:11" ht="23.5">
      <c r="E3" s="6" t="s">
        <v>0</v>
      </c>
      <c r="F3" s="6"/>
      <c r="G3" s="13"/>
    </row>
    <row r="4" spans="1:11">
      <c r="I4" t="s">
        <v>1</v>
      </c>
    </row>
    <row r="5" spans="1:11" ht="21">
      <c r="A5" s="5" t="s">
        <v>25</v>
      </c>
      <c r="J5" s="7"/>
      <c r="K5" s="7"/>
    </row>
    <row r="6" spans="1:11" ht="21">
      <c r="A6" s="5" t="s">
        <v>26</v>
      </c>
      <c r="B6" t="s">
        <v>1</v>
      </c>
    </row>
    <row r="7" spans="1:11" ht="21">
      <c r="A7" s="5" t="s">
        <v>27</v>
      </c>
    </row>
    <row r="9" spans="1:11">
      <c r="B9" t="s">
        <v>11</v>
      </c>
    </row>
    <row r="10" spans="1:11" ht="18.5">
      <c r="A10" s="7" t="s">
        <v>29</v>
      </c>
      <c r="E10" t="s">
        <v>16</v>
      </c>
    </row>
    <row r="11" spans="1:11">
      <c r="D11" s="3" t="s">
        <v>7</v>
      </c>
      <c r="E11" s="3" t="s">
        <v>8</v>
      </c>
      <c r="F11" s="3" t="s">
        <v>9</v>
      </c>
      <c r="G11" s="3" t="s">
        <v>10</v>
      </c>
    </row>
    <row r="12" spans="1:11">
      <c r="C12" s="3" t="s">
        <v>3</v>
      </c>
      <c r="D12" s="1">
        <v>8</v>
      </c>
      <c r="E12" s="1">
        <v>26</v>
      </c>
      <c r="F12" s="1">
        <v>17</v>
      </c>
      <c r="G12" s="1">
        <v>11</v>
      </c>
    </row>
    <row r="13" spans="1:11">
      <c r="B13" t="s">
        <v>2</v>
      </c>
      <c r="C13" s="3" t="s">
        <v>4</v>
      </c>
      <c r="D13" s="1">
        <v>13</v>
      </c>
      <c r="E13" s="1">
        <v>28</v>
      </c>
      <c r="F13" s="1">
        <v>4</v>
      </c>
      <c r="G13" s="1">
        <v>26</v>
      </c>
    </row>
    <row r="14" spans="1:11">
      <c r="C14" s="3" t="s">
        <v>5</v>
      </c>
      <c r="D14" s="1">
        <v>38</v>
      </c>
      <c r="E14" s="1">
        <v>19</v>
      </c>
      <c r="F14" s="1">
        <v>18</v>
      </c>
      <c r="G14" s="1">
        <v>15</v>
      </c>
    </row>
    <row r="15" spans="1:11">
      <c r="C15" s="3" t="s">
        <v>6</v>
      </c>
      <c r="D15" s="1">
        <v>29</v>
      </c>
      <c r="E15" s="1">
        <v>26</v>
      </c>
      <c r="F15" s="1">
        <v>24</v>
      </c>
      <c r="G15" s="1">
        <v>10</v>
      </c>
    </row>
    <row r="18" spans="2:1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2:12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>
      <c r="B20" s="15"/>
      <c r="D20" s="3" t="s">
        <v>7</v>
      </c>
      <c r="E20" s="3" t="s">
        <v>8</v>
      </c>
      <c r="F20" s="3" t="s">
        <v>9</v>
      </c>
      <c r="G20" s="3" t="s">
        <v>10</v>
      </c>
      <c r="H20" s="19" t="s">
        <v>35</v>
      </c>
      <c r="I20" s="15"/>
      <c r="J20" s="15" t="s">
        <v>38</v>
      </c>
      <c r="K20" s="15"/>
      <c r="L20" s="15"/>
    </row>
    <row r="21" spans="2:12">
      <c r="B21" s="15"/>
      <c r="C21" s="3" t="s">
        <v>3</v>
      </c>
      <c r="D21" s="1">
        <v>1</v>
      </c>
      <c r="E21" s="1">
        <v>0</v>
      </c>
      <c r="F21" s="1">
        <v>0</v>
      </c>
      <c r="G21" s="1">
        <v>0</v>
      </c>
      <c r="H21" s="22">
        <f>SUM(D21:G21)</f>
        <v>1</v>
      </c>
      <c r="I21" s="15" t="s">
        <v>36</v>
      </c>
      <c r="J21" s="20">
        <v>1</v>
      </c>
      <c r="K21" s="15"/>
      <c r="L21" s="15"/>
    </row>
    <row r="22" spans="2:12">
      <c r="B22" s="15"/>
      <c r="C22" s="3" t="s">
        <v>4</v>
      </c>
      <c r="D22" s="1">
        <v>0</v>
      </c>
      <c r="E22" s="1">
        <v>0</v>
      </c>
      <c r="F22" s="1">
        <v>1</v>
      </c>
      <c r="G22" s="1">
        <v>0</v>
      </c>
      <c r="H22" s="22">
        <f t="shared" ref="H22:H24" si="0">SUM(D22:G22)</f>
        <v>1</v>
      </c>
      <c r="I22" s="15" t="s">
        <v>36</v>
      </c>
      <c r="J22" s="20">
        <v>1</v>
      </c>
      <c r="K22" s="15"/>
      <c r="L22" s="15"/>
    </row>
    <row r="23" spans="2:12">
      <c r="B23" s="15"/>
      <c r="C23" s="3" t="s">
        <v>5</v>
      </c>
      <c r="D23" s="1">
        <v>0</v>
      </c>
      <c r="E23" s="1">
        <v>1</v>
      </c>
      <c r="F23" s="1">
        <v>0</v>
      </c>
      <c r="G23" s="1">
        <v>0</v>
      </c>
      <c r="H23" s="22">
        <f t="shared" si="0"/>
        <v>1</v>
      </c>
      <c r="I23" s="15" t="s">
        <v>36</v>
      </c>
      <c r="J23" s="20">
        <v>1</v>
      </c>
      <c r="K23" s="15"/>
      <c r="L23" s="15"/>
    </row>
    <row r="24" spans="2:12">
      <c r="B24" s="15"/>
      <c r="C24" s="3" t="s">
        <v>6</v>
      </c>
      <c r="D24" s="1">
        <v>0</v>
      </c>
      <c r="E24" s="1">
        <v>0</v>
      </c>
      <c r="F24" s="1">
        <v>0</v>
      </c>
      <c r="G24" s="1">
        <v>1</v>
      </c>
      <c r="H24" s="22">
        <f t="shared" si="0"/>
        <v>1</v>
      </c>
      <c r="I24" s="15" t="s">
        <v>36</v>
      </c>
      <c r="J24" s="20">
        <v>1</v>
      </c>
      <c r="K24" s="15"/>
      <c r="L24" s="15"/>
    </row>
    <row r="25" spans="2:12">
      <c r="B25" s="15"/>
      <c r="C25" s="19" t="s">
        <v>35</v>
      </c>
      <c r="D25" s="10">
        <f>SUM(D21:D24)</f>
        <v>1</v>
      </c>
      <c r="E25" s="10">
        <f t="shared" ref="E25:G25" si="1">SUM(E21:E24)</f>
        <v>1</v>
      </c>
      <c r="F25" s="10">
        <f t="shared" si="1"/>
        <v>1</v>
      </c>
      <c r="G25" s="10">
        <f t="shared" si="1"/>
        <v>1</v>
      </c>
      <c r="H25" s="17">
        <f>SUMPRODUCT(D12:G15,D21:G24)</f>
        <v>41</v>
      </c>
      <c r="I25" s="15"/>
      <c r="J25" s="15"/>
      <c r="K25" s="15"/>
      <c r="L25" s="15"/>
    </row>
    <row r="26" spans="2:12">
      <c r="B26" s="15"/>
      <c r="C26" s="15"/>
      <c r="D26" s="15" t="s">
        <v>36</v>
      </c>
      <c r="E26" s="15" t="s">
        <v>36</v>
      </c>
      <c r="F26" s="15" t="s">
        <v>36</v>
      </c>
      <c r="G26" s="15" t="s">
        <v>36</v>
      </c>
      <c r="H26" s="15"/>
      <c r="I26" s="15"/>
      <c r="J26" s="15"/>
      <c r="K26" s="15"/>
      <c r="L26" s="15"/>
    </row>
    <row r="27" spans="2:12">
      <c r="B27" s="15"/>
      <c r="C27" s="15" t="s">
        <v>39</v>
      </c>
      <c r="D27" s="20">
        <v>1</v>
      </c>
      <c r="E27" s="20">
        <v>1</v>
      </c>
      <c r="F27" s="20">
        <v>1</v>
      </c>
      <c r="G27" s="20">
        <v>1</v>
      </c>
      <c r="H27" s="15"/>
      <c r="I27" s="15"/>
      <c r="J27" s="15"/>
      <c r="K27" s="15"/>
      <c r="L27" s="15"/>
    </row>
    <row r="28" spans="2:1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2:1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2:1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3"/>
  <sheetViews>
    <sheetView topLeftCell="A4" zoomScaleNormal="100" workbookViewId="0">
      <selection activeCell="I26" sqref="I26"/>
    </sheetView>
  </sheetViews>
  <sheetFormatPr defaultRowHeight="14.5"/>
  <cols>
    <col min="1" max="1" width="40.7265625" customWidth="1"/>
  </cols>
  <sheetData>
    <row r="1" spans="1:14" ht="26">
      <c r="F1" s="12" t="s">
        <v>21</v>
      </c>
      <c r="G1" s="12"/>
    </row>
    <row r="3" spans="1:14" ht="23.5">
      <c r="F3" s="6" t="s">
        <v>0</v>
      </c>
      <c r="G3" s="6"/>
      <c r="H3" s="13"/>
    </row>
    <row r="4" spans="1:14" ht="18.5">
      <c r="N4" s="7"/>
    </row>
    <row r="5" spans="1:14" ht="21">
      <c r="A5" s="5" t="s">
        <v>25</v>
      </c>
      <c r="M5" s="7"/>
      <c r="N5" s="7"/>
    </row>
    <row r="6" spans="1:14" ht="21">
      <c r="A6" s="5" t="s">
        <v>26</v>
      </c>
    </row>
    <row r="7" spans="1:14" ht="21">
      <c r="A7" s="5" t="s">
        <v>27</v>
      </c>
    </row>
    <row r="8" spans="1:14">
      <c r="B8" t="s">
        <v>17</v>
      </c>
    </row>
    <row r="9" spans="1:14">
      <c r="D9" s="3" t="s">
        <v>7</v>
      </c>
      <c r="E9" s="3" t="s">
        <v>8</v>
      </c>
      <c r="F9" s="3" t="s">
        <v>9</v>
      </c>
      <c r="G9" s="3" t="s">
        <v>10</v>
      </c>
      <c r="H9" s="3" t="s">
        <v>19</v>
      </c>
    </row>
    <row r="10" spans="1:14" ht="18.5">
      <c r="A10" s="7" t="s">
        <v>20</v>
      </c>
      <c r="C10" s="11" t="s">
        <v>3</v>
      </c>
      <c r="D10" s="1">
        <v>32</v>
      </c>
      <c r="E10" s="1">
        <v>38</v>
      </c>
      <c r="F10" s="1">
        <v>40</v>
      </c>
      <c r="G10" s="1">
        <v>28</v>
      </c>
      <c r="H10" s="1">
        <v>40</v>
      </c>
    </row>
    <row r="11" spans="1:14">
      <c r="B11" t="s">
        <v>2</v>
      </c>
      <c r="C11" s="11" t="s">
        <v>4</v>
      </c>
      <c r="D11" s="1">
        <v>40</v>
      </c>
      <c r="E11" s="1">
        <v>24</v>
      </c>
      <c r="F11" s="1">
        <v>28</v>
      </c>
      <c r="G11" s="1">
        <v>21</v>
      </c>
      <c r="H11" s="1">
        <v>36</v>
      </c>
    </row>
    <row r="12" spans="1:14">
      <c r="C12" s="11" t="s">
        <v>5</v>
      </c>
      <c r="D12" s="1">
        <v>41</v>
      </c>
      <c r="E12" s="1">
        <v>27</v>
      </c>
      <c r="F12" s="1">
        <v>33</v>
      </c>
      <c r="G12" s="1">
        <v>30</v>
      </c>
      <c r="H12" s="1">
        <v>37</v>
      </c>
    </row>
    <row r="13" spans="1:14">
      <c r="C13" s="11" t="s">
        <v>6</v>
      </c>
      <c r="D13" s="1">
        <v>22</v>
      </c>
      <c r="E13" s="1">
        <v>38</v>
      </c>
      <c r="F13" s="1">
        <v>41</v>
      </c>
      <c r="G13" s="1">
        <v>36</v>
      </c>
      <c r="H13" s="1">
        <v>36</v>
      </c>
    </row>
    <row r="14" spans="1:14">
      <c r="C14" s="11" t="s">
        <v>18</v>
      </c>
      <c r="D14" s="1">
        <v>29</v>
      </c>
      <c r="E14" s="1">
        <v>33</v>
      </c>
      <c r="F14" s="1">
        <v>40</v>
      </c>
      <c r="G14" s="1">
        <v>35</v>
      </c>
      <c r="H14" s="1">
        <v>39</v>
      </c>
    </row>
    <row r="17" spans="2:1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2:1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>
      <c r="B20" s="15"/>
      <c r="D20" s="3" t="s">
        <v>7</v>
      </c>
      <c r="E20" s="3" t="s">
        <v>8</v>
      </c>
      <c r="F20" s="3" t="s">
        <v>9</v>
      </c>
      <c r="G20" s="3" t="s">
        <v>10</v>
      </c>
      <c r="H20" s="3" t="s">
        <v>19</v>
      </c>
      <c r="I20" s="19" t="s">
        <v>35</v>
      </c>
      <c r="J20" s="15"/>
      <c r="K20" s="15" t="s">
        <v>38</v>
      </c>
      <c r="L20" s="15"/>
      <c r="M20" s="15"/>
    </row>
    <row r="21" spans="2:13">
      <c r="B21" s="15"/>
      <c r="C21" s="11" t="s">
        <v>3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22">
        <f>SUM(D21:H21)</f>
        <v>1</v>
      </c>
      <c r="J21" s="15" t="s">
        <v>36</v>
      </c>
      <c r="K21" s="20">
        <v>1</v>
      </c>
      <c r="L21" s="15"/>
      <c r="M21" s="15"/>
    </row>
    <row r="22" spans="2:13">
      <c r="B22" s="15"/>
      <c r="C22" s="11" t="s">
        <v>4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22">
        <f t="shared" ref="I22:I25" si="0">SUM(D22:H22)</f>
        <v>1</v>
      </c>
      <c r="J22" s="15" t="s">
        <v>36</v>
      </c>
      <c r="K22" s="20">
        <v>1</v>
      </c>
      <c r="L22" s="15"/>
      <c r="M22" s="15"/>
    </row>
    <row r="23" spans="2:13">
      <c r="B23" s="15"/>
      <c r="C23" s="11" t="s">
        <v>5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22">
        <f t="shared" si="0"/>
        <v>1</v>
      </c>
      <c r="J23" s="15" t="s">
        <v>36</v>
      </c>
      <c r="K23" s="20">
        <v>1</v>
      </c>
      <c r="L23" s="15"/>
      <c r="M23" s="15"/>
    </row>
    <row r="24" spans="2:13">
      <c r="B24" s="15"/>
      <c r="C24" s="11" t="s">
        <v>6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22">
        <f t="shared" si="0"/>
        <v>1</v>
      </c>
      <c r="J24" s="15" t="s">
        <v>36</v>
      </c>
      <c r="K24" s="20">
        <v>1</v>
      </c>
      <c r="L24" s="15"/>
      <c r="M24" s="15"/>
    </row>
    <row r="25" spans="2:13">
      <c r="B25" s="15"/>
      <c r="C25" s="11" t="s">
        <v>18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22">
        <f t="shared" si="0"/>
        <v>1</v>
      </c>
      <c r="J25" s="15" t="s">
        <v>36</v>
      </c>
      <c r="K25" s="20">
        <v>1</v>
      </c>
      <c r="L25" s="15"/>
      <c r="M25" s="15"/>
    </row>
    <row r="26" spans="2:13">
      <c r="B26" s="15"/>
      <c r="C26" s="19" t="s">
        <v>35</v>
      </c>
      <c r="D26" s="21">
        <f>SUM(D21:D25)</f>
        <v>1</v>
      </c>
      <c r="E26" s="21">
        <f t="shared" ref="E26:H26" si="1">SUM(E21:E25)</f>
        <v>1</v>
      </c>
      <c r="F26" s="21">
        <f t="shared" si="1"/>
        <v>1</v>
      </c>
      <c r="G26" s="21">
        <f t="shared" si="1"/>
        <v>1</v>
      </c>
      <c r="H26" s="21">
        <f t="shared" si="1"/>
        <v>1</v>
      </c>
      <c r="I26" s="16">
        <f>SUMPRODUCT(D10:H14,D21:H25)</f>
        <v>144</v>
      </c>
      <c r="J26" s="15"/>
      <c r="K26" s="15"/>
      <c r="L26" s="15"/>
      <c r="M26" s="15"/>
    </row>
    <row r="27" spans="2:13">
      <c r="B27" s="15"/>
      <c r="C27" s="15"/>
      <c r="D27" s="15" t="s">
        <v>36</v>
      </c>
      <c r="E27" s="15" t="s">
        <v>36</v>
      </c>
      <c r="F27" s="15" t="s">
        <v>36</v>
      </c>
      <c r="G27" s="15" t="s">
        <v>36</v>
      </c>
      <c r="H27" s="15" t="s">
        <v>36</v>
      </c>
      <c r="I27" s="15"/>
      <c r="J27" s="15"/>
      <c r="K27" s="15"/>
      <c r="L27" s="15"/>
      <c r="M27" s="15"/>
    </row>
    <row r="28" spans="2:13">
      <c r="B28" s="15"/>
      <c r="C28" s="15" t="s">
        <v>31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15"/>
      <c r="J28" s="15"/>
      <c r="K28" s="15"/>
      <c r="L28" s="15"/>
      <c r="M28" s="15"/>
    </row>
    <row r="29" spans="2:1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2:1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admin</cp:lastModifiedBy>
  <dcterms:created xsi:type="dcterms:W3CDTF">2024-02-27T08:07:41Z</dcterms:created>
  <dcterms:modified xsi:type="dcterms:W3CDTF">2025-10-12T10:36:08Z</dcterms:modified>
</cp:coreProperties>
</file>