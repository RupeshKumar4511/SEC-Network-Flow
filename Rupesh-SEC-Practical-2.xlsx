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1102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</sheets>
  <definedNames>
    <definedName name="solver_adj" localSheetId="0" hidden="1">'1'!$G$21:$J$23</definedName>
    <definedName name="solver_adj" localSheetId="9" hidden="1">'10'!$G$24:$I$28</definedName>
    <definedName name="solver_adj" localSheetId="10" hidden="1">'11'!$G$23:$K$27</definedName>
    <definedName name="solver_adj" localSheetId="11" hidden="1">'12'!$G$23:$K$27</definedName>
    <definedName name="solver_adj" localSheetId="12" hidden="1">'13'!$G$21:$J$24</definedName>
    <definedName name="solver_adj" localSheetId="13" hidden="1">'14'!$G$22:$K$26</definedName>
    <definedName name="solver_adj" localSheetId="14" hidden="1">'15'!$G$22:$K$26</definedName>
    <definedName name="solver_adj" localSheetId="15" hidden="1">'16'!$G$22:$K$26</definedName>
    <definedName name="solver_adj" localSheetId="1" hidden="1">'2'!$G$23:$J$26</definedName>
    <definedName name="solver_adj" localSheetId="2" hidden="1">'3'!$G$21:$J$23</definedName>
    <definedName name="solver_adj" localSheetId="3" hidden="1">'4'!$G$21:$J$23</definedName>
    <definedName name="solver_adj" localSheetId="4" hidden="1">'5'!$G$22:$I$25</definedName>
    <definedName name="solver_adj" localSheetId="5" hidden="1">'6'!$G$21:$I$23</definedName>
    <definedName name="solver_adj" localSheetId="6" hidden="1">'7'!$G$23:$L$26</definedName>
    <definedName name="solver_adj" localSheetId="7" hidden="1">'8'!$G$22:$J$24</definedName>
    <definedName name="solver_adj" localSheetId="8" hidden="1">'9'!$G$22:$J$24</definedName>
    <definedName name="solver_cvg" localSheetId="0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rv" localSheetId="0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eng" localSheetId="0">2</definedName>
    <definedName name="solver_eng" localSheetId="9">2</definedName>
    <definedName name="solver_eng" localSheetId="10" hidden="1">2</definedName>
    <definedName name="solver_eng" localSheetId="11" hidden="1">2</definedName>
    <definedName name="solver_eng" localSheetId="12" hidden="1">2</definedName>
    <definedName name="solver_eng" localSheetId="13" hidden="1">2</definedName>
    <definedName name="solver_eng" localSheetId="14" hidden="1">2</definedName>
    <definedName name="solver_eng" localSheetId="15" hidden="1">2</definedName>
    <definedName name="solver_eng" localSheetId="1" hidden="1">2</definedName>
    <definedName name="solver_eng" localSheetId="2">2</definedName>
    <definedName name="solver_eng" localSheetId="3">2</definedName>
    <definedName name="solver_eng" localSheetId="4">2</definedName>
    <definedName name="solver_eng" localSheetId="5">2</definedName>
    <definedName name="solver_eng" localSheetId="6">2</definedName>
    <definedName name="solver_eng" localSheetId="7">2</definedName>
    <definedName name="solver_eng" localSheetId="8">2</definedName>
    <definedName name="solver_est" localSheetId="0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itr" localSheetId="0" hidden="1">100</definedName>
    <definedName name="solver_itr" localSheetId="9" hidden="1">100</definedName>
    <definedName name="solver_itr" localSheetId="10" hidden="1">100</definedName>
    <definedName name="solver_itr" localSheetId="11" hidden="1">100</definedName>
    <definedName name="solver_itr" localSheetId="12" hidden="1">100</definedName>
    <definedName name="solver_itr" localSheetId="13" hidden="1">100</definedName>
    <definedName name="solver_itr" localSheetId="14" hidden="1">100</definedName>
    <definedName name="solver_itr" localSheetId="15" hidden="1">100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itr" localSheetId="4" hidden="1">100</definedName>
    <definedName name="solver_itr" localSheetId="5" hidden="1">100</definedName>
    <definedName name="solver_itr" localSheetId="6" hidden="1">100</definedName>
    <definedName name="solver_itr" localSheetId="7" hidden="1">100</definedName>
    <definedName name="solver_itr" localSheetId="8" hidden="1">100</definedName>
    <definedName name="solver_lhs1" localSheetId="0" hidden="1">'1'!$G$24:$J$24</definedName>
    <definedName name="solver_lhs1" localSheetId="9" hidden="1">'10'!$G$29:$I$29</definedName>
    <definedName name="solver_lhs1" localSheetId="10" hidden="1">'11'!$G$28:$K$28</definedName>
    <definedName name="solver_lhs1" localSheetId="11" hidden="1">'12'!$G$28:$K$28</definedName>
    <definedName name="solver_lhs1" localSheetId="12" hidden="1">'13'!$G$25:$J$25</definedName>
    <definedName name="solver_lhs1" localSheetId="13" hidden="1">'14'!$G$27:$K$27</definedName>
    <definedName name="solver_lhs1" localSheetId="14" hidden="1">'15'!$G$27:$K$27</definedName>
    <definedName name="solver_lhs1" localSheetId="15" hidden="1">'16'!$G$27:$K$27</definedName>
    <definedName name="solver_lhs1" localSheetId="1" hidden="1">'2'!$G$27:$J$27</definedName>
    <definedName name="solver_lhs1" localSheetId="2" hidden="1">'3'!$G$24:$J$24</definedName>
    <definedName name="solver_lhs1" localSheetId="3" hidden="1">'4'!$K$21:$K$23</definedName>
    <definedName name="solver_lhs1" localSheetId="4" hidden="1">'5'!$G$26:$I$26</definedName>
    <definedName name="solver_lhs1" localSheetId="5" hidden="1">'6'!$J$21:$J$23</definedName>
    <definedName name="solver_lhs1" localSheetId="6" hidden="1">'7'!$G$27:$L$27</definedName>
    <definedName name="solver_lhs1" localSheetId="7" hidden="1">'8'!$K$22:$K$24</definedName>
    <definedName name="solver_lhs1" localSheetId="8" hidden="1">'9'!$G$25:$J$25</definedName>
    <definedName name="solver_lhs2" localSheetId="0" hidden="1">'1'!$K$21:$K$23</definedName>
    <definedName name="solver_lhs2" localSheetId="9" hidden="1">'10'!$J$24:$J$28</definedName>
    <definedName name="solver_lhs2" localSheetId="10" hidden="1">'11'!$L$23:$L$27</definedName>
    <definedName name="solver_lhs2" localSheetId="11" hidden="1">'12'!$L$23:$L$27</definedName>
    <definedName name="solver_lhs2" localSheetId="12" hidden="1">'13'!$K$21:$K$24</definedName>
    <definedName name="solver_lhs2" localSheetId="13" hidden="1">'14'!$L$22:$L$26</definedName>
    <definedName name="solver_lhs2" localSheetId="14" hidden="1">'15'!$L$22:$L$26</definedName>
    <definedName name="solver_lhs2" localSheetId="15" hidden="1">'16'!$L$22:$L$26</definedName>
    <definedName name="solver_lhs2" localSheetId="1" hidden="1">'2'!$K$23:$K$26</definedName>
    <definedName name="solver_lhs2" localSheetId="2" hidden="1">'3'!$K$21:$K$23</definedName>
    <definedName name="solver_lhs2" localSheetId="3" hidden="1">'4'!$G$24:$J$24</definedName>
    <definedName name="solver_lhs2" localSheetId="4" hidden="1">'5'!$J$22:$J$25</definedName>
    <definedName name="solver_lhs2" localSheetId="5" hidden="1">'6'!$G$24:$I$24</definedName>
    <definedName name="solver_lhs2" localSheetId="6" hidden="1">'7'!$M$23:$M$26</definedName>
    <definedName name="solver_lhs2" localSheetId="7" hidden="1">'8'!$G$25:$J$25</definedName>
    <definedName name="solver_lhs2" localSheetId="8" hidden="1">'9'!$K$22:$K$24</definedName>
    <definedName name="solver_lhs3" localSheetId="0">'1'!$K$21:$K$23</definedName>
    <definedName name="solver_lhs4" localSheetId="0">'1'!$K$21:$K$23</definedName>
    <definedName name="solver_lin" localSheetId="0" hidden="1">1</definedName>
    <definedName name="solver_lin" localSheetId="9" hidden="1">1</definedName>
    <definedName name="solver_lin" localSheetId="10" hidden="1">1</definedName>
    <definedName name="solver_lin" localSheetId="11" hidden="1">1</definedName>
    <definedName name="solver_lin" localSheetId="12" hidden="1">1</definedName>
    <definedName name="solver_lin" localSheetId="13" hidden="1">1</definedName>
    <definedName name="solver_lin" localSheetId="14" hidden="1">1</definedName>
    <definedName name="solver_lin" localSheetId="15" hidden="1">1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lin" localSheetId="4" hidden="1">1</definedName>
    <definedName name="solver_lin" localSheetId="5" hidden="1">1</definedName>
    <definedName name="solver_lin" localSheetId="6" hidden="1">1</definedName>
    <definedName name="solver_lin" localSheetId="7" hidden="1">1</definedName>
    <definedName name="solver_lin" localSheetId="8" hidden="1">1</definedName>
    <definedName name="solver_mip" localSheetId="0">2147483647</definedName>
    <definedName name="solver_mip" localSheetId="9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" hidden="1">2147483647</definedName>
    <definedName name="solver_mip" localSheetId="2">2147483647</definedName>
    <definedName name="solver_mip" localSheetId="3">2147483647</definedName>
    <definedName name="solver_mip" localSheetId="4">2147483647</definedName>
    <definedName name="solver_mip" localSheetId="5">2147483647</definedName>
    <definedName name="solver_mip" localSheetId="6">2147483647</definedName>
    <definedName name="solver_mip" localSheetId="7">2147483647</definedName>
    <definedName name="solver_mip" localSheetId="8">2147483647</definedName>
    <definedName name="solver_mni" localSheetId="0">30</definedName>
    <definedName name="solver_mni" localSheetId="9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" hidden="1">30</definedName>
    <definedName name="solver_mni" localSheetId="2">30</definedName>
    <definedName name="solver_mni" localSheetId="3">30</definedName>
    <definedName name="solver_mni" localSheetId="4">30</definedName>
    <definedName name="solver_mni" localSheetId="5">30</definedName>
    <definedName name="solver_mni" localSheetId="6">30</definedName>
    <definedName name="solver_mni" localSheetId="7">30</definedName>
    <definedName name="solver_mni" localSheetId="8">30</definedName>
    <definedName name="solver_mrt" localSheetId="0">0.075</definedName>
    <definedName name="solver_mrt" localSheetId="9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" hidden="1">0.075</definedName>
    <definedName name="solver_mrt" localSheetId="2">0.075</definedName>
    <definedName name="solver_mrt" localSheetId="3">0.075</definedName>
    <definedName name="solver_mrt" localSheetId="4">0.075</definedName>
    <definedName name="solver_mrt" localSheetId="5">0.075</definedName>
    <definedName name="solver_mrt" localSheetId="6">0.075</definedName>
    <definedName name="solver_mrt" localSheetId="7">0.075</definedName>
    <definedName name="solver_mrt" localSheetId="8">0.075</definedName>
    <definedName name="solver_msl" localSheetId="0">2</definedName>
    <definedName name="solver_msl" localSheetId="9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" hidden="1">2</definedName>
    <definedName name="solver_msl" localSheetId="2">2</definedName>
    <definedName name="solver_msl" localSheetId="3">2</definedName>
    <definedName name="solver_msl" localSheetId="4">2</definedName>
    <definedName name="solver_msl" localSheetId="5">2</definedName>
    <definedName name="solver_msl" localSheetId="6">2</definedName>
    <definedName name="solver_msl" localSheetId="7">2</definedName>
    <definedName name="solver_msl" localSheetId="8">2</definedName>
    <definedName name="solver_neg" localSheetId="0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od" localSheetId="0">2147483647</definedName>
    <definedName name="solver_nod" localSheetId="9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" hidden="1">2147483647</definedName>
    <definedName name="solver_nod" localSheetId="2">2147483647</definedName>
    <definedName name="solver_nod" localSheetId="3">2147483647</definedName>
    <definedName name="solver_nod" localSheetId="4">2147483647</definedName>
    <definedName name="solver_nod" localSheetId="5">2147483647</definedName>
    <definedName name="solver_nod" localSheetId="6">2147483647</definedName>
    <definedName name="solver_nod" localSheetId="7">2147483647</definedName>
    <definedName name="solver_nod" localSheetId="8">2147483647</definedName>
    <definedName name="solver_num" localSheetId="0" hidden="1">2</definedName>
    <definedName name="solver_num" localSheetId="9" hidden="1">2</definedName>
    <definedName name="solver_num" localSheetId="10" hidden="1">2</definedName>
    <definedName name="solver_num" localSheetId="11" hidden="1">2</definedName>
    <definedName name="solver_num" localSheetId="12" hidden="1">2</definedName>
    <definedName name="solver_num" localSheetId="13" hidden="1">2</definedName>
    <definedName name="solver_num" localSheetId="14" hidden="1">2</definedName>
    <definedName name="solver_num" localSheetId="15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nwt" localSheetId="0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opt" localSheetId="0" hidden="1">'1'!$L$25</definedName>
    <definedName name="solver_opt" localSheetId="9" hidden="1">'10'!$L$29</definedName>
    <definedName name="solver_opt" localSheetId="10" hidden="1">'11'!$L$28</definedName>
    <definedName name="solver_opt" localSheetId="11" hidden="1">'12'!$L$28</definedName>
    <definedName name="solver_opt" localSheetId="12" hidden="1">'13'!$K$25</definedName>
    <definedName name="solver_opt" localSheetId="13" hidden="1">'14'!$L$27</definedName>
    <definedName name="solver_opt" localSheetId="14" hidden="1">'15'!$L$27</definedName>
    <definedName name="solver_opt" localSheetId="15" hidden="1">'16'!$L$27</definedName>
    <definedName name="solver_opt" localSheetId="1" hidden="1">'2'!$M$27</definedName>
    <definedName name="solver_opt" localSheetId="2" hidden="1">'3'!$M$25</definedName>
    <definedName name="solver_opt" localSheetId="3" hidden="1">'4'!$M$25</definedName>
    <definedName name="solver_opt" localSheetId="4" hidden="1">'5'!$L$27</definedName>
    <definedName name="solver_opt" localSheetId="5" hidden="1">'6'!$L$25</definedName>
    <definedName name="solver_opt" localSheetId="6" hidden="1">'7'!$O$27</definedName>
    <definedName name="solver_opt" localSheetId="7" hidden="1">'8'!$M$25</definedName>
    <definedName name="solver_opt" localSheetId="8" hidden="1">'9'!$M$25</definedName>
    <definedName name="solver_pre" localSheetId="0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rbv" localSheetId="0">1</definedName>
    <definedName name="solver_rbv" localSheetId="9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" hidden="1">1</definedName>
    <definedName name="solver_rbv" localSheetId="2">1</definedName>
    <definedName name="solver_rbv" localSheetId="3">1</definedName>
    <definedName name="solver_rbv" localSheetId="4">1</definedName>
    <definedName name="solver_rbv" localSheetId="5">1</definedName>
    <definedName name="solver_rbv" localSheetId="6">1</definedName>
    <definedName name="solver_rbv" localSheetId="7">1</definedName>
    <definedName name="solver_rbv" localSheetId="8">1</definedName>
    <definedName name="solver_rel1" localSheetId="0" hidden="1">2</definedName>
    <definedName name="solver_rel1" localSheetId="9" hidden="1">2</definedName>
    <definedName name="solver_rel1" localSheetId="10" hidden="1">2</definedName>
    <definedName name="solver_rel1" localSheetId="11" hidden="1">2</definedName>
    <definedName name="solver_rel1" localSheetId="12" hidden="1">2</definedName>
    <definedName name="solver_rel1" localSheetId="13" hidden="1">2</definedName>
    <definedName name="solver_rel1" localSheetId="14" hidden="1">2</definedName>
    <definedName name="solver_rel1" localSheetId="15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1" localSheetId="8" hidden="1">2</definedName>
    <definedName name="solver_rel2" localSheetId="0" hidden="1">2</definedName>
    <definedName name="solver_rel2" localSheetId="9" hidden="1">2</definedName>
    <definedName name="solver_rel2" localSheetId="10" hidden="1">2</definedName>
    <definedName name="solver_rel2" localSheetId="11" hidden="1">2</definedName>
    <definedName name="solver_rel2" localSheetId="12" hidden="1">2</definedName>
    <definedName name="solver_rel2" localSheetId="13" hidden="1">2</definedName>
    <definedName name="solver_rel2" localSheetId="14" hidden="1">2</definedName>
    <definedName name="solver_rel2" localSheetId="15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2" localSheetId="5" hidden="1">2</definedName>
    <definedName name="solver_rel2" localSheetId="6" hidden="1">2</definedName>
    <definedName name="solver_rel2" localSheetId="7" hidden="1">2</definedName>
    <definedName name="solver_rel2" localSheetId="8" hidden="1">2</definedName>
    <definedName name="solver_rel3" localSheetId="0">2</definedName>
    <definedName name="solver_rel4" localSheetId="0">2</definedName>
    <definedName name="solver_rhs1" localSheetId="0" hidden="1">'1'!$G$26:$J$26</definedName>
    <definedName name="solver_rhs1" localSheetId="9" hidden="1">'10'!$G$30:$I$30</definedName>
    <definedName name="solver_rhs1" localSheetId="10" hidden="1">'11'!$G$30:$K$30</definedName>
    <definedName name="solver_rhs1" localSheetId="11" hidden="1">'12'!$G$30:$K$30</definedName>
    <definedName name="solver_rhs1" localSheetId="12" hidden="1">'13'!$G$27:$J$27</definedName>
    <definedName name="solver_rhs1" localSheetId="13" hidden="1">'14'!$G$29:$K$29</definedName>
    <definedName name="solver_rhs1" localSheetId="14" hidden="1">'15'!$G$29:$K$29</definedName>
    <definedName name="solver_rhs1" localSheetId="15" hidden="1">'16'!$G$29:$K$29</definedName>
    <definedName name="solver_rhs1" localSheetId="1" hidden="1">'2'!$G$29:$J$29</definedName>
    <definedName name="solver_rhs1" localSheetId="2" hidden="1">'3'!$G$25:$J$25</definedName>
    <definedName name="solver_rhs1" localSheetId="3" hidden="1">'4'!$L$21:$L$23</definedName>
    <definedName name="solver_rhs1" localSheetId="4" hidden="1">'5'!$G$27:$I$27</definedName>
    <definedName name="solver_rhs1" localSheetId="5" hidden="1">'6'!$K$21:$K$23</definedName>
    <definedName name="solver_rhs1" localSheetId="6" hidden="1">'7'!$G$29:$L$29</definedName>
    <definedName name="solver_rhs1" localSheetId="7" hidden="1">'8'!$L$22:$L$24</definedName>
    <definedName name="solver_rhs1" localSheetId="8" hidden="1">'9'!$G$26:$J$26</definedName>
    <definedName name="solver_rhs2" localSheetId="0" hidden="1">'1'!$M$21:$M$23</definedName>
    <definedName name="solver_rhs2" localSheetId="9" hidden="1">'10'!$K$24:$K$28</definedName>
    <definedName name="solver_rhs2" localSheetId="10" hidden="1">'11'!$N$23:$N$27</definedName>
    <definedName name="solver_rhs2" localSheetId="11" hidden="1">'12'!$N$23:$N$27</definedName>
    <definedName name="solver_rhs2" localSheetId="12" hidden="1">'13'!$M$21:$M$24</definedName>
    <definedName name="solver_rhs2" localSheetId="13" hidden="1">'14'!$N$22:$N$26</definedName>
    <definedName name="solver_rhs2" localSheetId="14" hidden="1">'15'!$N$22:$N$26</definedName>
    <definedName name="solver_rhs2" localSheetId="15" hidden="1">'16'!$N$22:$N$26</definedName>
    <definedName name="solver_rhs2" localSheetId="1" hidden="1">'2'!$L$23:$L$26</definedName>
    <definedName name="solver_rhs2" localSheetId="2" hidden="1">'3'!$L$21:$L$23</definedName>
    <definedName name="solver_rhs2" localSheetId="3" hidden="1">'4'!$G$25:$J$25</definedName>
    <definedName name="solver_rhs2" localSheetId="4" hidden="1">'5'!$K$22:$K$25</definedName>
    <definedName name="solver_rhs2" localSheetId="5" hidden="1">'6'!$G$25:$I$25</definedName>
    <definedName name="solver_rhs2" localSheetId="6" hidden="1">'7'!$N$23:$N$26</definedName>
    <definedName name="solver_rhs2" localSheetId="7" hidden="1">'8'!$G$26:$J$26</definedName>
    <definedName name="solver_rhs2" localSheetId="8" hidden="1">'9'!$L$22:$L$24</definedName>
    <definedName name="solver_rhs3" localSheetId="0">'1'!$M$21:$M$23</definedName>
    <definedName name="solver_rhs4" localSheetId="0">'1'!$M$21:$M$23</definedName>
    <definedName name="solver_rlx" localSheetId="0">2</definedName>
    <definedName name="solver_rlx" localSheetId="9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" hidden="1">2</definedName>
    <definedName name="solver_rlx" localSheetId="2">2</definedName>
    <definedName name="solver_rlx" localSheetId="3">2</definedName>
    <definedName name="solver_rlx" localSheetId="4">2</definedName>
    <definedName name="solver_rlx" localSheetId="5">2</definedName>
    <definedName name="solver_rlx" localSheetId="6">2</definedName>
    <definedName name="solver_rlx" localSheetId="7">2</definedName>
    <definedName name="solver_rlx" localSheetId="8">2</definedName>
    <definedName name="solver_rsd" localSheetId="0">0</definedName>
    <definedName name="solver_rsd" localSheetId="9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" hidden="1">0</definedName>
    <definedName name="solver_rsd" localSheetId="2">0</definedName>
    <definedName name="solver_rsd" localSheetId="3">0</definedName>
    <definedName name="solver_rsd" localSheetId="4">0</definedName>
    <definedName name="solver_rsd" localSheetId="5">0</definedName>
    <definedName name="solver_rsd" localSheetId="6">0</definedName>
    <definedName name="solver_rsd" localSheetId="7">0</definedName>
    <definedName name="solver_rsd" localSheetId="8">0</definedName>
    <definedName name="solver_scl" localSheetId="0" hidden="1">2</definedName>
    <definedName name="solver_scl" localSheetId="9" hidden="1">2</definedName>
    <definedName name="solver_scl" localSheetId="10" hidden="1">2</definedName>
    <definedName name="solver_scl" localSheetId="11" hidden="1">2</definedName>
    <definedName name="solver_scl" localSheetId="12" hidden="1">2</definedName>
    <definedName name="solver_scl" localSheetId="13" hidden="1">2</definedName>
    <definedName name="solver_scl" localSheetId="14" hidden="1">2</definedName>
    <definedName name="solver_scl" localSheetId="15" hidden="1">2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cl" localSheetId="6" hidden="1">2</definedName>
    <definedName name="solver_scl" localSheetId="7" hidden="1">2</definedName>
    <definedName name="solver_scl" localSheetId="8" hidden="1">2</definedName>
    <definedName name="solver_sho" localSheetId="0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sz" localSheetId="0">100</definedName>
    <definedName name="solver_ssz" localSheetId="9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" hidden="1">100</definedName>
    <definedName name="solver_ssz" localSheetId="2">100</definedName>
    <definedName name="solver_ssz" localSheetId="3">100</definedName>
    <definedName name="solver_ssz" localSheetId="4">100</definedName>
    <definedName name="solver_ssz" localSheetId="5">100</definedName>
    <definedName name="solver_ssz" localSheetId="6">100</definedName>
    <definedName name="solver_ssz" localSheetId="7">100</definedName>
    <definedName name="solver_ssz" localSheetId="8">100</definedName>
    <definedName name="solver_tim" localSheetId="0" hidden="1">100</definedName>
    <definedName name="solver_tim" localSheetId="9" hidden="1">100</definedName>
    <definedName name="solver_tim" localSheetId="10" hidden="1">100</definedName>
    <definedName name="solver_tim" localSheetId="11" hidden="1">100</definedName>
    <definedName name="solver_tim" localSheetId="12" hidden="1">100</definedName>
    <definedName name="solver_tim" localSheetId="13" hidden="1">100</definedName>
    <definedName name="solver_tim" localSheetId="14" hidden="1">100</definedName>
    <definedName name="solver_tim" localSheetId="15" hidden="1">100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im" localSheetId="4" hidden="1">100</definedName>
    <definedName name="solver_tim" localSheetId="5" hidden="1">100</definedName>
    <definedName name="solver_tim" localSheetId="6" hidden="1">100</definedName>
    <definedName name="solver_tim" localSheetId="7" hidden="1">100</definedName>
    <definedName name="solver_tim" localSheetId="8" hidden="1">100</definedName>
    <definedName name="solver_tol" localSheetId="0" hidden="1">0.05</definedName>
    <definedName name="solver_tol" localSheetId="9" hidden="1">0.05</definedName>
    <definedName name="solver_tol" localSheetId="10" hidden="1">0.05</definedName>
    <definedName name="solver_tol" localSheetId="11" hidden="1">0.05</definedName>
    <definedName name="solver_tol" localSheetId="12" hidden="1">0.05</definedName>
    <definedName name="solver_tol" localSheetId="13" hidden="1">0.05</definedName>
    <definedName name="solver_tol" localSheetId="14" hidden="1">0.05</definedName>
    <definedName name="solver_tol" localSheetId="15" hidden="1">0.05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ol" localSheetId="4" hidden="1">0.05</definedName>
    <definedName name="solver_tol" localSheetId="5" hidden="1">0.05</definedName>
    <definedName name="solver_tol" localSheetId="6" hidden="1">0.05</definedName>
    <definedName name="solver_tol" localSheetId="7" hidden="1">0.05</definedName>
    <definedName name="solver_tol" localSheetId="8" hidden="1">0.05</definedName>
    <definedName name="solver_typ" localSheetId="0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val" localSheetId="0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0">3</definedName>
    <definedName name="solver_ver" localSheetId="9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" hidden="1">3</definedName>
    <definedName name="solver_ver" localSheetId="2">3</definedName>
    <definedName name="solver_ver" localSheetId="3">3</definedName>
    <definedName name="solver_ver" localSheetId="4">3</definedName>
    <definedName name="solver_ver" localSheetId="5">3</definedName>
    <definedName name="solver_ver" localSheetId="6">3</definedName>
    <definedName name="solver_ver" localSheetId="7">3</definedName>
    <definedName name="solver_ver" localSheetId="8">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VFrzyFxeHLn4BGpZ2Pb26UPpe6Qux1xFNIislFb9l/Q="/>
    </ext>
  </extLst>
</workbook>
</file>

<file path=xl/calcChain.xml><?xml version="1.0" encoding="utf-8"?>
<calcChain xmlns="http://schemas.openxmlformats.org/spreadsheetml/2006/main">
  <c r="L29" i="10"/>
  <c r="K25"/>
  <c r="K26"/>
  <c r="K27"/>
  <c r="K28"/>
  <c r="K24"/>
  <c r="H30"/>
  <c r="I30"/>
  <c r="G30"/>
  <c r="M25" i="9"/>
  <c r="L23"/>
  <c r="L24"/>
  <c r="L22"/>
  <c r="H26"/>
  <c r="I26"/>
  <c r="J26"/>
  <c r="G26"/>
  <c r="M25" i="8"/>
  <c r="L23"/>
  <c r="L24"/>
  <c r="L22"/>
  <c r="H26"/>
  <c r="I26"/>
  <c r="J26"/>
  <c r="G26"/>
  <c r="O27" i="7"/>
  <c r="N23"/>
  <c r="H29"/>
  <c r="I29"/>
  <c r="J29"/>
  <c r="K29"/>
  <c r="L29"/>
  <c r="G29"/>
  <c r="L25" i="6"/>
  <c r="K21"/>
  <c r="G25"/>
  <c r="L27" i="5"/>
  <c r="K23"/>
  <c r="K24"/>
  <c r="K25"/>
  <c r="K22"/>
  <c r="G27"/>
  <c r="L26" i="2"/>
  <c r="M27"/>
  <c r="H29"/>
  <c r="I29"/>
  <c r="J29"/>
  <c r="G29"/>
  <c r="N24" i="7"/>
  <c r="N25"/>
  <c r="N26"/>
  <c r="K22" i="6"/>
  <c r="K23"/>
  <c r="H25"/>
  <c r="I25"/>
  <c r="H27" i="5"/>
  <c r="I27"/>
  <c r="M25" i="4"/>
  <c r="H25"/>
  <c r="I25"/>
  <c r="J25"/>
  <c r="G25"/>
  <c r="L22"/>
  <c r="L23"/>
  <c r="L21"/>
  <c r="M25" i="3"/>
  <c r="L21"/>
  <c r="L22"/>
  <c r="L23"/>
  <c r="H25"/>
  <c r="I25"/>
  <c r="J25"/>
  <c r="G25"/>
  <c r="L24" i="2"/>
  <c r="L25"/>
  <c r="L23"/>
  <c r="L25" i="1" l="1"/>
  <c r="H26"/>
  <c r="I26"/>
  <c r="J26"/>
  <c r="G26"/>
  <c r="M22"/>
  <c r="M23"/>
  <c r="M21"/>
  <c r="L27" i="16"/>
  <c r="L23"/>
  <c r="L24"/>
  <c r="L25"/>
  <c r="L26"/>
  <c r="L22"/>
  <c r="H27"/>
  <c r="I27"/>
  <c r="J27"/>
  <c r="K27"/>
  <c r="G27"/>
  <c r="L27" i="15"/>
  <c r="H27"/>
  <c r="I27"/>
  <c r="J27"/>
  <c r="K27"/>
  <c r="G27"/>
  <c r="L23"/>
  <c r="L24"/>
  <c r="L25"/>
  <c r="L26"/>
  <c r="L22"/>
  <c r="L27" i="14"/>
  <c r="L23"/>
  <c r="L24"/>
  <c r="L25"/>
  <c r="L26"/>
  <c r="H27"/>
  <c r="I27"/>
  <c r="J27"/>
  <c r="K27"/>
  <c r="L22"/>
  <c r="G27"/>
  <c r="K25" i="13"/>
  <c r="K22"/>
  <c r="K23"/>
  <c r="K24"/>
  <c r="K21"/>
  <c r="H25"/>
  <c r="I25"/>
  <c r="J25"/>
  <c r="G25"/>
  <c r="L28" i="12"/>
  <c r="L27"/>
  <c r="H28"/>
  <c r="I28"/>
  <c r="J28"/>
  <c r="K28"/>
  <c r="G28"/>
  <c r="L24"/>
  <c r="L25"/>
  <c r="L26"/>
  <c r="L23"/>
  <c r="L28" i="11"/>
  <c r="L27"/>
  <c r="L24"/>
  <c r="L25"/>
  <c r="L26"/>
  <c r="L23"/>
  <c r="H28"/>
  <c r="I28"/>
  <c r="J28"/>
  <c r="K28"/>
  <c r="G28"/>
  <c r="N13" i="9" l="1"/>
  <c r="M13" i="6"/>
  <c r="M14"/>
  <c r="N12" i="4"/>
  <c r="O12" i="3"/>
  <c r="O12" i="2"/>
  <c r="M15" i="10"/>
  <c r="M14"/>
  <c r="N14" i="9"/>
  <c r="N14" i="8"/>
  <c r="N13"/>
  <c r="P14" i="7"/>
  <c r="P13"/>
  <c r="M13" i="5"/>
  <c r="M12"/>
  <c r="N13" i="4"/>
  <c r="O13" i="3"/>
  <c r="O13" i="2"/>
  <c r="O13" i="1"/>
  <c r="O12"/>
</calcChain>
</file>

<file path=xl/sharedStrings.xml><?xml version="1.0" encoding="utf-8"?>
<sst xmlns="http://schemas.openxmlformats.org/spreadsheetml/2006/main" count="613" uniqueCount="64">
  <si>
    <t xml:space="preserve">Practice Question </t>
  </si>
  <si>
    <t xml:space="preserve">Transportation Problem </t>
  </si>
  <si>
    <t xml:space="preserve">Name - Yash Chauhan </t>
  </si>
  <si>
    <t>Roll no. - 20231851</t>
  </si>
  <si>
    <t>Course - B.A (Hons) Philosophy</t>
  </si>
  <si>
    <t xml:space="preserve">Question - 1 </t>
  </si>
  <si>
    <t xml:space="preserve">Cost </t>
  </si>
  <si>
    <t>DESTINATION</t>
  </si>
  <si>
    <t>D1</t>
  </si>
  <si>
    <t>D2</t>
  </si>
  <si>
    <t>D3</t>
  </si>
  <si>
    <t>D4</t>
  </si>
  <si>
    <t>SUPPLY</t>
  </si>
  <si>
    <t>o1</t>
  </si>
  <si>
    <t>Origin</t>
  </si>
  <si>
    <t>o2</t>
  </si>
  <si>
    <t>o3</t>
  </si>
  <si>
    <t>DEMAND</t>
  </si>
  <si>
    <t xml:space="preserve">Question 2 </t>
  </si>
  <si>
    <t>Question 3</t>
  </si>
  <si>
    <t>Question 4</t>
  </si>
  <si>
    <t>Question 5</t>
  </si>
  <si>
    <t>o4</t>
  </si>
  <si>
    <t>Question 6</t>
  </si>
  <si>
    <t>Question 7</t>
  </si>
  <si>
    <t>D5</t>
  </si>
  <si>
    <t>D6</t>
  </si>
  <si>
    <t>Question 8</t>
  </si>
  <si>
    <t>Question 9</t>
  </si>
  <si>
    <t>Question 10</t>
  </si>
  <si>
    <t>o5</t>
  </si>
  <si>
    <t>Assignment Problem</t>
  </si>
  <si>
    <t>Question 1</t>
  </si>
  <si>
    <t>CUSTOMER</t>
  </si>
  <si>
    <t>LOCATION</t>
  </si>
  <si>
    <t>Question 2</t>
  </si>
  <si>
    <t>Man</t>
  </si>
  <si>
    <t>job</t>
  </si>
  <si>
    <t>Job</t>
  </si>
  <si>
    <t>man</t>
  </si>
  <si>
    <t>mec</t>
  </si>
  <si>
    <t xml:space="preserve">SUM </t>
  </si>
  <si>
    <t>SUM</t>
  </si>
  <si>
    <t xml:space="preserve">Name - </t>
  </si>
  <si>
    <t>Roll no. -</t>
  </si>
  <si>
    <t xml:space="preserve">Course - </t>
  </si>
  <si>
    <t>Name -</t>
  </si>
  <si>
    <t xml:space="preserve">Roll no. - </t>
  </si>
  <si>
    <t>Total</t>
  </si>
  <si>
    <t>equal</t>
  </si>
  <si>
    <t>supply</t>
  </si>
  <si>
    <t>Demand</t>
  </si>
  <si>
    <t>demand</t>
  </si>
  <si>
    <t>Total Cost</t>
  </si>
  <si>
    <t>Out</t>
  </si>
  <si>
    <t>In</t>
  </si>
  <si>
    <t>Row sum</t>
  </si>
  <si>
    <t>col sum</t>
  </si>
  <si>
    <t>minimum</t>
  </si>
  <si>
    <t>Total cost</t>
  </si>
  <si>
    <t>IN</t>
  </si>
  <si>
    <t>OUT</t>
  </si>
  <si>
    <t>total cost</t>
  </si>
  <si>
    <t>Name - Rupesh Kumar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</si>
</sst>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FA7D00"/>
      <name val="Calibri"/>
      <family val="2"/>
    </font>
    <font>
      <sz val="11"/>
      <color rgb="FF3F3F76"/>
      <name val="Calibri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  <font>
      <sz val="11"/>
      <color theme="0"/>
      <name val="Calibri"/>
      <family val="2"/>
    </font>
    <font>
      <b/>
      <sz val="11"/>
      <color rgb="FFFA7D00"/>
      <name val="Calibri"/>
      <family val="2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CC"/>
        <bgColor rgb="FFFFFFCC"/>
      </patternFill>
    </fill>
    <fill>
      <patternFill patternType="solid">
        <fgColor rgb="FFFBE4D5"/>
        <bgColor rgb="FFFBE4D5"/>
      </patternFill>
    </fill>
    <fill>
      <patternFill patternType="solid">
        <fgColor rgb="FFFFCC99"/>
        <bgColor rgb="FFFFCC99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theme="7"/>
      </patternFill>
    </fill>
    <fill>
      <patternFill patternType="solid">
        <fgColor theme="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D96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10">
    <xf numFmtId="0" fontId="0" fillId="0" borderId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21" borderId="5" applyNumberFormat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</cellStyleXfs>
  <cellXfs count="4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/>
    <xf numFmtId="0" fontId="9" fillId="3" borderId="2" xfId="0" applyFont="1" applyFill="1" applyBorder="1"/>
    <xf numFmtId="0" fontId="9" fillId="4" borderId="3" xfId="0" applyFont="1" applyFill="1" applyBorder="1"/>
    <xf numFmtId="0" fontId="10" fillId="0" borderId="4" xfId="0" applyFont="1" applyBorder="1"/>
    <xf numFmtId="0" fontId="11" fillId="5" borderId="5" xfId="0" applyFont="1" applyFill="1" applyBorder="1"/>
    <xf numFmtId="0" fontId="12" fillId="0" borderId="0" xfId="0" applyFont="1"/>
    <xf numFmtId="0" fontId="13" fillId="6" borderId="3" xfId="0" applyFont="1" applyFill="1" applyBorder="1"/>
    <xf numFmtId="0" fontId="15" fillId="7" borderId="5" xfId="0" applyFont="1" applyFill="1" applyBorder="1"/>
    <xf numFmtId="0" fontId="11" fillId="5" borderId="6" xfId="0" applyFont="1" applyFill="1" applyBorder="1"/>
    <xf numFmtId="0" fontId="0" fillId="0" borderId="3" xfId="0" applyBorder="1"/>
    <xf numFmtId="0" fontId="11" fillId="5" borderId="3" xfId="0" applyFont="1" applyFill="1" applyBorder="1"/>
    <xf numFmtId="0" fontId="4" fillId="0" borderId="0" xfId="0" applyFont="1"/>
    <xf numFmtId="0" fontId="10" fillId="0" borderId="3" xfId="0" applyFont="1" applyBorder="1"/>
    <xf numFmtId="0" fontId="16" fillId="9" borderId="3" xfId="2" applyBorder="1"/>
    <xf numFmtId="0" fontId="16" fillId="9" borderId="2" xfId="2" applyBorder="1"/>
    <xf numFmtId="0" fontId="16" fillId="10" borderId="3" xfId="3" applyBorder="1"/>
    <xf numFmtId="0" fontId="16" fillId="8" borderId="3" xfId="1" applyBorder="1"/>
    <xf numFmtId="0" fontId="16" fillId="8" borderId="2" xfId="1" applyBorder="1"/>
    <xf numFmtId="0" fontId="16" fillId="9" borderId="5" xfId="2" applyBorder="1"/>
    <xf numFmtId="0" fontId="16" fillId="8" borderId="5" xfId="1" applyBorder="1"/>
    <xf numFmtId="0" fontId="3" fillId="0" borderId="0" xfId="0" applyFont="1"/>
    <xf numFmtId="0" fontId="0" fillId="11" borderId="0" xfId="0" applyFill="1"/>
    <xf numFmtId="0" fontId="12" fillId="11" borderId="0" xfId="0" applyFont="1" applyFill="1"/>
    <xf numFmtId="0" fontId="8" fillId="12" borderId="1" xfId="0" applyFont="1" applyFill="1" applyBorder="1"/>
    <xf numFmtId="0" fontId="13" fillId="13" borderId="3" xfId="0" applyFont="1" applyFill="1" applyBorder="1"/>
    <xf numFmtId="0" fontId="9" fillId="14" borderId="3" xfId="0" applyFont="1" applyFill="1" applyBorder="1"/>
    <xf numFmtId="0" fontId="9" fillId="15" borderId="3" xfId="0" applyFont="1" applyFill="1" applyBorder="1"/>
    <xf numFmtId="0" fontId="16" fillId="16" borderId="3" xfId="3" applyFill="1" applyBorder="1"/>
    <xf numFmtId="0" fontId="15" fillId="17" borderId="5" xfId="0" applyFont="1" applyFill="1" applyBorder="1"/>
    <xf numFmtId="0" fontId="16" fillId="16" borderId="3" xfId="2" applyFill="1" applyBorder="1"/>
    <xf numFmtId="0" fontId="14" fillId="18" borderId="3" xfId="0" applyFont="1" applyFill="1" applyBorder="1"/>
    <xf numFmtId="0" fontId="9" fillId="18" borderId="3" xfId="0" applyFont="1" applyFill="1" applyBorder="1"/>
    <xf numFmtId="0" fontId="3" fillId="11" borderId="0" xfId="0" applyFont="1" applyFill="1"/>
    <xf numFmtId="0" fontId="4" fillId="11" borderId="0" xfId="0" applyFont="1" applyFill="1"/>
    <xf numFmtId="0" fontId="2" fillId="11" borderId="0" xfId="0" applyFont="1" applyFill="1"/>
    <xf numFmtId="0" fontId="18" fillId="20" borderId="0" xfId="5"/>
    <xf numFmtId="0" fontId="16" fillId="23" borderId="5" xfId="8" applyBorder="1"/>
    <xf numFmtId="0" fontId="19" fillId="21" borderId="5" xfId="6"/>
    <xf numFmtId="0" fontId="17" fillId="19" borderId="0" xfId="4"/>
    <xf numFmtId="0" fontId="16" fillId="9" borderId="0" xfId="2"/>
    <xf numFmtId="0" fontId="16" fillId="24" borderId="5" xfId="9" applyBorder="1"/>
    <xf numFmtId="0" fontId="16" fillId="22" borderId="3" xfId="7" applyBorder="1"/>
    <xf numFmtId="0" fontId="2" fillId="0" borderId="0" xfId="0" applyFont="1"/>
    <xf numFmtId="0" fontId="2" fillId="11" borderId="0" xfId="0" applyFont="1" applyFill="1" applyAlignment="1">
      <alignment horizontal="center"/>
    </xf>
    <xf numFmtId="0" fontId="1" fillId="11" borderId="0" xfId="0" applyFont="1" applyFill="1"/>
  </cellXfs>
  <cellStyles count="10">
    <cellStyle name="60% - Accent4" xfId="8" builtinId="44"/>
    <cellStyle name="60% - Accent5" xfId="2" builtinId="48"/>
    <cellStyle name="60% - Accent6" xfId="9" builtinId="52"/>
    <cellStyle name="Accent4" xfId="7" builtinId="41"/>
    <cellStyle name="Accent5" xfId="1" builtinId="45"/>
    <cellStyle name="Accent6" xfId="3" builtinId="49"/>
    <cellStyle name="Calculation" xfId="6" builtinId="22"/>
    <cellStyle name="Good" xfId="4" builtinId="26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0"/>
  <sheetViews>
    <sheetView tabSelected="1" topLeftCell="A4" zoomScale="93" workbookViewId="0">
      <selection activeCell="A4" sqref="A4"/>
    </sheetView>
  </sheetViews>
  <sheetFormatPr defaultColWidth="14.453125" defaultRowHeight="15" customHeight="1"/>
  <cols>
    <col min="1" max="1" width="36.54296875" customWidth="1"/>
    <col min="2" max="10" width="8.7265625" customWidth="1"/>
    <col min="11" max="11" width="12.7265625" customWidth="1"/>
    <col min="12" max="26" width="8.7265625" customWidth="1"/>
  </cols>
  <sheetData>
    <row r="1" spans="1:18" ht="26">
      <c r="G1" s="1" t="s">
        <v>0</v>
      </c>
    </row>
    <row r="2" spans="1:18" ht="26">
      <c r="G2" s="1" t="s">
        <v>1</v>
      </c>
    </row>
    <row r="4" spans="1:18" ht="18.5">
      <c r="A4" s="2" t="s">
        <v>63</v>
      </c>
    </row>
    <row r="5" spans="1:18" ht="18.5">
      <c r="A5" s="2" t="s">
        <v>44</v>
      </c>
    </row>
    <row r="6" spans="1:18" ht="18.5">
      <c r="A6" s="2" t="s">
        <v>45</v>
      </c>
    </row>
    <row r="8" spans="1:18" ht="15.5">
      <c r="A8" s="3" t="s">
        <v>5</v>
      </c>
    </row>
    <row r="9" spans="1:18" ht="14.5">
      <c r="D9" s="4" t="s">
        <v>6</v>
      </c>
      <c r="H9" s="5" t="s">
        <v>7</v>
      </c>
    </row>
    <row r="10" spans="1:18" ht="14.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8" ht="14.5">
      <c r="F11" s="6" t="s">
        <v>13</v>
      </c>
      <c r="G11" s="8">
        <v>10</v>
      </c>
      <c r="H11" s="8">
        <v>7</v>
      </c>
      <c r="I11" s="8">
        <v>3</v>
      </c>
      <c r="J11" s="8">
        <v>6</v>
      </c>
      <c r="K11" s="7">
        <v>3</v>
      </c>
      <c r="N11" s="24" t="s">
        <v>41</v>
      </c>
    </row>
    <row r="12" spans="1:18" ht="14.5">
      <c r="E12" s="5" t="s">
        <v>14</v>
      </c>
      <c r="F12" s="6" t="s">
        <v>15</v>
      </c>
      <c r="G12" s="8">
        <v>1</v>
      </c>
      <c r="H12" s="8">
        <v>6</v>
      </c>
      <c r="I12" s="8">
        <v>8</v>
      </c>
      <c r="J12" s="8">
        <v>3</v>
      </c>
      <c r="K12" s="7">
        <v>5</v>
      </c>
      <c r="N12" s="24" t="s">
        <v>12</v>
      </c>
      <c r="O12" s="9">
        <f>SUM(K11:K13)</f>
        <v>15</v>
      </c>
    </row>
    <row r="13" spans="1:18" ht="14.5">
      <c r="F13" s="6" t="s">
        <v>16</v>
      </c>
      <c r="G13" s="8">
        <v>7</v>
      </c>
      <c r="H13" s="8">
        <v>4</v>
      </c>
      <c r="I13" s="8">
        <v>5</v>
      </c>
      <c r="J13" s="8">
        <v>3</v>
      </c>
      <c r="K13" s="7">
        <v>7</v>
      </c>
      <c r="N13" s="24" t="s">
        <v>17</v>
      </c>
      <c r="O13" s="9">
        <f>SUM(G14:J14)</f>
        <v>15</v>
      </c>
    </row>
    <row r="14" spans="1:18" ht="14.5">
      <c r="F14" s="7" t="s">
        <v>17</v>
      </c>
      <c r="G14" s="7">
        <v>3</v>
      </c>
      <c r="H14" s="7">
        <v>2</v>
      </c>
      <c r="I14" s="7">
        <v>6</v>
      </c>
      <c r="J14" s="7">
        <v>4</v>
      </c>
    </row>
    <row r="15" spans="1:18" ht="14.5">
      <c r="N15" s="9"/>
      <c r="O15" s="9"/>
    </row>
    <row r="16" spans="1:18" ht="14.5"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6"/>
      <c r="O16" s="25"/>
      <c r="P16" s="25"/>
      <c r="Q16" s="25"/>
      <c r="R16" s="25"/>
    </row>
    <row r="17" spans="3:18" ht="14.5">
      <c r="C17" s="25"/>
      <c r="D17" s="27"/>
      <c r="E17" s="27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3:18" ht="15" customHeight="1"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3:18" ht="14.5">
      <c r="C19" s="25"/>
      <c r="D19" s="25"/>
      <c r="E19" s="25"/>
      <c r="F19" s="25"/>
      <c r="G19" s="25"/>
      <c r="H19" s="28"/>
      <c r="I19" s="25"/>
      <c r="J19" s="25"/>
      <c r="K19" s="25"/>
      <c r="L19" s="25"/>
      <c r="M19" s="38" t="s">
        <v>56</v>
      </c>
      <c r="N19" s="25"/>
      <c r="O19" s="25"/>
      <c r="P19" s="25"/>
      <c r="Q19" s="25"/>
      <c r="R19" s="25"/>
    </row>
    <row r="20" spans="3:18" thickBot="1">
      <c r="C20" s="25"/>
      <c r="D20" s="25"/>
      <c r="E20" s="25"/>
      <c r="F20" s="6"/>
      <c r="G20" s="6" t="s">
        <v>8</v>
      </c>
      <c r="H20" s="6" t="s">
        <v>9</v>
      </c>
      <c r="I20" s="6" t="s">
        <v>10</v>
      </c>
      <c r="J20" s="6" t="s">
        <v>11</v>
      </c>
      <c r="K20" s="7" t="s">
        <v>12</v>
      </c>
      <c r="L20" s="25"/>
      <c r="M20" s="20" t="s">
        <v>54</v>
      </c>
      <c r="N20" s="13"/>
      <c r="O20" s="25"/>
      <c r="P20" s="25"/>
      <c r="Q20" s="25"/>
      <c r="R20" s="25"/>
    </row>
    <row r="21" spans="3:18" ht="15.75" customHeight="1" thickTop="1" thickBot="1">
      <c r="C21" s="25"/>
      <c r="D21" s="25"/>
      <c r="E21" s="25"/>
      <c r="F21" s="6" t="s">
        <v>13</v>
      </c>
      <c r="G21" s="8">
        <v>0</v>
      </c>
      <c r="H21" s="8">
        <v>0</v>
      </c>
      <c r="I21" s="8">
        <v>2.9999999999803464</v>
      </c>
      <c r="J21" s="8">
        <v>0</v>
      </c>
      <c r="K21" s="7">
        <v>3</v>
      </c>
      <c r="L21" s="26"/>
      <c r="M21" s="45">
        <f>SUM(G21:J21)</f>
        <v>2.9999999999803464</v>
      </c>
      <c r="N21" s="25"/>
      <c r="O21" s="25"/>
      <c r="P21" s="25"/>
      <c r="Q21" s="25"/>
      <c r="R21" s="25"/>
    </row>
    <row r="22" spans="3:18" ht="15.75" customHeight="1" thickTop="1" thickBot="1">
      <c r="C22" s="25"/>
      <c r="D22" s="25"/>
      <c r="E22" s="28"/>
      <c r="F22" s="6" t="s">
        <v>15</v>
      </c>
      <c r="G22" s="8">
        <v>2.9999999999803464</v>
      </c>
      <c r="H22" s="8">
        <v>0</v>
      </c>
      <c r="I22" s="8">
        <v>0</v>
      </c>
      <c r="J22" s="8">
        <v>1.9999999999424887</v>
      </c>
      <c r="K22" s="7">
        <v>5</v>
      </c>
      <c r="L22" s="26"/>
      <c r="M22" s="45">
        <f t="shared" ref="M22:M23" si="0">SUM(G22:J22)</f>
        <v>4.9999999999228351</v>
      </c>
      <c r="N22" s="25"/>
      <c r="O22" s="25"/>
      <c r="P22" s="25"/>
      <c r="Q22" s="25"/>
      <c r="R22" s="25"/>
    </row>
    <row r="23" spans="3:18" ht="15.75" customHeight="1" thickTop="1" thickBot="1">
      <c r="C23" s="25"/>
      <c r="D23" s="25"/>
      <c r="E23" s="25"/>
      <c r="F23" s="6" t="s">
        <v>16</v>
      </c>
      <c r="G23" s="8">
        <v>0</v>
      </c>
      <c r="H23" s="8">
        <v>1.9999999999868976</v>
      </c>
      <c r="I23" s="8">
        <v>3.0000000002468008</v>
      </c>
      <c r="J23" s="8">
        <v>2.0000000000313065</v>
      </c>
      <c r="K23" s="7">
        <v>7</v>
      </c>
      <c r="L23" s="26"/>
      <c r="M23" s="45">
        <f t="shared" si="0"/>
        <v>7.0000000002650049</v>
      </c>
      <c r="N23" s="25"/>
      <c r="O23" s="25"/>
      <c r="P23" s="25"/>
      <c r="Q23" s="25"/>
      <c r="R23" s="25"/>
    </row>
    <row r="24" spans="3:18" ht="15.75" customHeight="1" thickTop="1" thickBot="1">
      <c r="C24" s="25"/>
      <c r="D24" s="25"/>
      <c r="E24" s="25"/>
      <c r="F24" s="7" t="s">
        <v>17</v>
      </c>
      <c r="G24" s="7">
        <v>3</v>
      </c>
      <c r="H24" s="7">
        <v>2</v>
      </c>
      <c r="I24" s="7">
        <v>6</v>
      </c>
      <c r="J24" s="7">
        <v>4</v>
      </c>
      <c r="L24" s="25"/>
      <c r="M24" s="25"/>
      <c r="N24" s="25"/>
      <c r="O24" s="25"/>
      <c r="P24" s="25"/>
      <c r="Q24" s="25"/>
      <c r="R24" s="25"/>
    </row>
    <row r="25" spans="3:18" ht="15.75" customHeight="1" thickTop="1">
      <c r="C25" s="25"/>
      <c r="D25" s="25"/>
      <c r="E25" s="25"/>
      <c r="F25" s="25"/>
      <c r="G25" s="26"/>
      <c r="H25" s="26"/>
      <c r="I25" s="26"/>
      <c r="J25" s="26"/>
      <c r="K25" s="32" t="s">
        <v>53</v>
      </c>
      <c r="L25" s="32">
        <f>SUMPRODUCT(G11:J13,G21:J23)</f>
        <v>47.000000001024361</v>
      </c>
      <c r="M25" s="32" t="s">
        <v>58</v>
      </c>
      <c r="N25" s="25"/>
      <c r="O25" s="25"/>
      <c r="P25" s="25"/>
      <c r="Q25" s="25"/>
      <c r="R25" s="25"/>
    </row>
    <row r="26" spans="3:18" ht="15.75" customHeight="1">
      <c r="C26" s="25"/>
      <c r="D26" s="25"/>
      <c r="E26" s="38" t="s">
        <v>57</v>
      </c>
      <c r="F26" s="45" t="s">
        <v>55</v>
      </c>
      <c r="G26" s="20">
        <f>SUM(G21:G23)</f>
        <v>2.9999999999803464</v>
      </c>
      <c r="H26" s="20">
        <f t="shared" ref="H26:J26" si="1">SUM(H21:H23)</f>
        <v>1.9999999999868976</v>
      </c>
      <c r="I26" s="20">
        <f t="shared" si="1"/>
        <v>6.0000000002271472</v>
      </c>
      <c r="J26" s="20">
        <f t="shared" si="1"/>
        <v>3.9999999999737952</v>
      </c>
      <c r="K26" s="25"/>
      <c r="L26" s="25"/>
      <c r="M26" s="25"/>
      <c r="N26" s="25"/>
      <c r="O26" s="25"/>
      <c r="P26" s="25"/>
      <c r="Q26" s="25"/>
      <c r="R26" s="25"/>
    </row>
    <row r="27" spans="3:18" ht="15.75" customHeight="1"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3:18" ht="15.75" customHeight="1"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3:18" ht="15.75" customHeight="1"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3:18" ht="15.75" customHeight="1"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3:18" ht="15.75" customHeight="1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3:18" ht="15.75" customHeight="1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02"/>
  <sheetViews>
    <sheetView topLeftCell="A4" zoomScale="73" workbookViewId="0">
      <selection activeCell="M27" sqref="M27"/>
    </sheetView>
  </sheetViews>
  <sheetFormatPr defaultColWidth="14.453125" defaultRowHeight="15" customHeight="1"/>
  <cols>
    <col min="1" max="1" width="36.54296875" customWidth="1"/>
    <col min="2" max="10" width="8.7265625" customWidth="1"/>
    <col min="11" max="11" width="11.26953125" customWidth="1"/>
    <col min="12" max="26" width="8.7265625" customWidth="1"/>
  </cols>
  <sheetData>
    <row r="1" spans="1:21" ht="26">
      <c r="G1" s="1" t="s">
        <v>0</v>
      </c>
    </row>
    <row r="2" spans="1:21" ht="26">
      <c r="G2" s="1" t="s">
        <v>1</v>
      </c>
    </row>
    <row r="4" spans="1:21" ht="18.5">
      <c r="A4" s="2" t="s">
        <v>43</v>
      </c>
    </row>
    <row r="5" spans="1:21" ht="18.5">
      <c r="A5" s="2" t="s">
        <v>44</v>
      </c>
    </row>
    <row r="6" spans="1:21" ht="18.5">
      <c r="A6" s="2" t="s">
        <v>45</v>
      </c>
    </row>
    <row r="8" spans="1:21" ht="15.5">
      <c r="A8" s="3" t="s">
        <v>18</v>
      </c>
    </row>
    <row r="9" spans="1:21" ht="14.5">
      <c r="D9" s="4" t="s">
        <v>6</v>
      </c>
      <c r="H9" s="5" t="s">
        <v>7</v>
      </c>
    </row>
    <row r="10" spans="1:21" ht="14.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21" ht="15.5" thickTop="1" thickBot="1">
      <c r="F11" s="6" t="s">
        <v>13</v>
      </c>
      <c r="G11" s="8">
        <v>1</v>
      </c>
      <c r="H11" s="8">
        <v>2</v>
      </c>
      <c r="I11" s="8">
        <v>1</v>
      </c>
      <c r="J11" s="8">
        <v>4</v>
      </c>
      <c r="K11" s="7">
        <v>20</v>
      </c>
      <c r="N11" s="24" t="s">
        <v>42</v>
      </c>
    </row>
    <row r="12" spans="1:21" ht="15.5" thickTop="1" thickBot="1">
      <c r="E12" s="5" t="s">
        <v>14</v>
      </c>
      <c r="F12" s="6" t="s">
        <v>15</v>
      </c>
      <c r="G12" s="8">
        <v>3</v>
      </c>
      <c r="H12" s="8">
        <v>3</v>
      </c>
      <c r="I12" s="8">
        <v>2</v>
      </c>
      <c r="J12" s="8">
        <v>1</v>
      </c>
      <c r="K12" s="7">
        <v>50</v>
      </c>
      <c r="N12" s="24" t="s">
        <v>12</v>
      </c>
      <c r="O12" s="9">
        <f>SUM(K11:K14)</f>
        <v>100</v>
      </c>
    </row>
    <row r="13" spans="1:21" ht="15.5" thickTop="1" thickBot="1">
      <c r="F13" s="6" t="s">
        <v>16</v>
      </c>
      <c r="G13" s="8">
        <v>4</v>
      </c>
      <c r="H13" s="8">
        <v>2</v>
      </c>
      <c r="I13" s="8">
        <v>5</v>
      </c>
      <c r="J13" s="8">
        <v>9</v>
      </c>
      <c r="K13" s="7">
        <v>20</v>
      </c>
      <c r="N13" s="24" t="s">
        <v>17</v>
      </c>
      <c r="O13" s="9">
        <f>SUM(G15:J15)</f>
        <v>100</v>
      </c>
    </row>
    <row r="14" spans="1:21" thickTop="1">
      <c r="F14" s="6" t="s">
        <v>22</v>
      </c>
      <c r="G14" s="14">
        <v>0</v>
      </c>
      <c r="H14" s="14">
        <v>0</v>
      </c>
      <c r="I14" s="14">
        <v>0</v>
      </c>
      <c r="J14" s="14">
        <v>0</v>
      </c>
      <c r="K14" s="16">
        <v>10</v>
      </c>
    </row>
    <row r="15" spans="1:21" thickBot="1">
      <c r="F15" s="7" t="s">
        <v>17</v>
      </c>
      <c r="G15" s="7">
        <v>20</v>
      </c>
      <c r="H15" s="7">
        <v>40</v>
      </c>
      <c r="I15" s="7">
        <v>30</v>
      </c>
      <c r="J15" s="7">
        <v>10</v>
      </c>
    </row>
    <row r="16" spans="1:21" thickTop="1"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spans="4:21" thickBot="1"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4:21" ht="15.5" thickTop="1" thickBot="1">
      <c r="D18" s="27"/>
      <c r="E18" s="27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4:21" ht="15" customHeight="1" thickTop="1"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4:21" ht="14.5">
      <c r="D20" s="25"/>
      <c r="E20" s="25"/>
      <c r="F20" s="25"/>
      <c r="G20" s="25"/>
      <c r="H20" s="28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spans="4:21" ht="14.5">
      <c r="D21" s="25"/>
      <c r="E21" s="25"/>
      <c r="F21" s="29"/>
      <c r="G21" s="29"/>
      <c r="H21" s="29"/>
      <c r="I21" s="29"/>
      <c r="J21" s="29"/>
      <c r="K21" s="33"/>
      <c r="L21" s="25"/>
      <c r="M21" s="31"/>
      <c r="N21" s="25"/>
      <c r="O21" s="25"/>
      <c r="P21" s="25"/>
      <c r="Q21" s="25"/>
      <c r="R21" s="25"/>
      <c r="S21" s="25"/>
      <c r="T21" s="25"/>
      <c r="U21" s="25"/>
    </row>
    <row r="22" spans="4:21" ht="15.75" customHeight="1" thickBot="1">
      <c r="D22" s="25"/>
      <c r="F22" s="6"/>
      <c r="G22" s="6" t="s">
        <v>8</v>
      </c>
      <c r="H22" s="6" t="s">
        <v>9</v>
      </c>
      <c r="I22" s="6" t="s">
        <v>10</v>
      </c>
      <c r="J22" s="6" t="s">
        <v>11</v>
      </c>
      <c r="K22" s="7" t="s">
        <v>12</v>
      </c>
      <c r="L22" s="42" t="s">
        <v>54</v>
      </c>
      <c r="M22" s="31"/>
      <c r="N22" s="25"/>
      <c r="O22" s="25"/>
      <c r="P22" s="25"/>
      <c r="Q22" s="25"/>
      <c r="R22" s="25"/>
      <c r="S22" s="25"/>
      <c r="T22" s="25"/>
      <c r="U22" s="25"/>
    </row>
    <row r="23" spans="4:21" ht="15.75" customHeight="1" thickTop="1" thickBot="1">
      <c r="D23" s="25"/>
      <c r="F23" s="6" t="s">
        <v>13</v>
      </c>
      <c r="G23" s="8">
        <v>20.000000000046612</v>
      </c>
      <c r="H23" s="8">
        <v>0</v>
      </c>
      <c r="I23" s="8">
        <v>0</v>
      </c>
      <c r="J23" s="8">
        <v>0</v>
      </c>
      <c r="K23" s="7">
        <v>20</v>
      </c>
      <c r="L23" s="39">
        <f>SUM(G23:J23)</f>
        <v>20.000000000046612</v>
      </c>
      <c r="M23" s="31"/>
      <c r="N23" s="25"/>
      <c r="O23" s="25"/>
      <c r="P23" s="25"/>
      <c r="Q23" s="25"/>
      <c r="R23" s="25"/>
      <c r="S23" s="25"/>
      <c r="T23" s="25"/>
      <c r="U23" s="25"/>
    </row>
    <row r="24" spans="4:21" ht="15.75" customHeight="1" thickTop="1" thickBot="1">
      <c r="D24" s="25"/>
      <c r="E24" s="5" t="s">
        <v>14</v>
      </c>
      <c r="F24" s="6" t="s">
        <v>15</v>
      </c>
      <c r="G24" s="8">
        <v>0</v>
      </c>
      <c r="H24" s="8">
        <v>9.9999999986022203</v>
      </c>
      <c r="I24" s="8">
        <v>29.999999999714646</v>
      </c>
      <c r="J24" s="8">
        <v>10.000000000023306</v>
      </c>
      <c r="K24" s="7">
        <v>50</v>
      </c>
      <c r="L24" s="39">
        <f t="shared" ref="L24:L26" si="0">SUM(G24:J24)</f>
        <v>49.999999998340172</v>
      </c>
      <c r="M24" s="31"/>
      <c r="N24" s="25"/>
      <c r="O24" s="25"/>
      <c r="P24" s="25"/>
      <c r="Q24" s="25"/>
      <c r="R24" s="25"/>
      <c r="S24" s="25"/>
      <c r="T24" s="25"/>
      <c r="U24" s="25"/>
    </row>
    <row r="25" spans="4:21" ht="15.75" customHeight="1" thickTop="1" thickBot="1">
      <c r="D25" s="25"/>
      <c r="F25" s="6" t="s">
        <v>16</v>
      </c>
      <c r="G25" s="8">
        <v>0</v>
      </c>
      <c r="H25" s="8">
        <v>20.000000000046612</v>
      </c>
      <c r="I25" s="8">
        <v>0</v>
      </c>
      <c r="J25" s="8">
        <v>0</v>
      </c>
      <c r="K25" s="7">
        <v>20</v>
      </c>
      <c r="L25" s="39">
        <f t="shared" si="0"/>
        <v>20.000000000046612</v>
      </c>
      <c r="M25" s="31"/>
      <c r="N25" s="25"/>
      <c r="O25" s="25"/>
      <c r="P25" s="25"/>
      <c r="Q25" s="25"/>
      <c r="R25" s="25"/>
      <c r="S25" s="25"/>
      <c r="T25" s="25"/>
      <c r="U25" s="25"/>
    </row>
    <row r="26" spans="4:21" ht="15.75" customHeight="1" thickTop="1">
      <c r="D26" s="25"/>
      <c r="F26" s="6" t="s">
        <v>22</v>
      </c>
      <c r="G26" s="14">
        <v>0</v>
      </c>
      <c r="H26" s="14">
        <v>10.000000000023306</v>
      </c>
      <c r="I26" s="14">
        <v>0</v>
      </c>
      <c r="J26" s="14">
        <v>0</v>
      </c>
      <c r="K26" s="16">
        <v>10</v>
      </c>
      <c r="L26" s="39">
        <f t="shared" si="0"/>
        <v>10.000000000023306</v>
      </c>
      <c r="M26" s="25"/>
      <c r="N26" s="25"/>
      <c r="O26" s="25"/>
      <c r="P26" s="25"/>
      <c r="Q26" s="25"/>
      <c r="R26" s="25"/>
      <c r="S26" s="25"/>
      <c r="T26" s="25"/>
      <c r="U26" s="25"/>
    </row>
    <row r="27" spans="4:21" ht="15.75" customHeight="1" thickBot="1">
      <c r="D27" s="25"/>
      <c r="F27" s="7" t="s">
        <v>17</v>
      </c>
      <c r="G27" s="7">
        <v>20</v>
      </c>
      <c r="H27" s="7">
        <v>40</v>
      </c>
      <c r="I27" s="7">
        <v>30</v>
      </c>
      <c r="J27" s="7">
        <v>10</v>
      </c>
      <c r="L27" s="32" t="s">
        <v>59</v>
      </c>
      <c r="M27" s="32">
        <f>SUMPRODUCT(G11:J14,G23:J26)</f>
        <v>159.99999999539909</v>
      </c>
      <c r="N27" s="25"/>
      <c r="O27" s="25"/>
      <c r="P27" s="25"/>
      <c r="Q27" s="25"/>
      <c r="R27" s="25"/>
      <c r="S27" s="25"/>
      <c r="T27" s="25"/>
      <c r="U27" s="25"/>
    </row>
    <row r="28" spans="4:21" ht="15.75" customHeight="1" thickTop="1">
      <c r="D28" s="25"/>
      <c r="E28" s="25"/>
      <c r="F28" s="34"/>
      <c r="G28" s="31"/>
      <c r="H28" s="31"/>
      <c r="I28" s="31"/>
      <c r="J28" s="31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4:21" ht="15.75" customHeight="1">
      <c r="D29" s="25"/>
      <c r="E29" s="25"/>
      <c r="F29" s="39" t="s">
        <v>60</v>
      </c>
      <c r="G29" s="42">
        <f>SUM(G23:G26)</f>
        <v>20.000000000046612</v>
      </c>
      <c r="H29" s="42">
        <f t="shared" ref="H29:J29" si="1">SUM(H23:H26)</f>
        <v>39.999999998672138</v>
      </c>
      <c r="I29" s="42">
        <f t="shared" si="1"/>
        <v>29.999999999714646</v>
      </c>
      <c r="J29" s="42">
        <f t="shared" si="1"/>
        <v>10.000000000023306</v>
      </c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4:21" ht="15.75" customHeight="1"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4:21" ht="15.75" customHeight="1"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4:21" ht="15.75" customHeight="1"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4:21" ht="15.75" customHeight="1"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4:21" ht="15.75" customHeight="1"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4:21" ht="15.75" customHeight="1"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4:21" ht="15.75" customHeight="1"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4:21" ht="15.75" customHeight="1"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4:21" ht="15.75" customHeight="1"/>
    <row r="39" spans="4:21" ht="15.75" customHeight="1"/>
    <row r="40" spans="4:21" ht="15.75" customHeight="1"/>
    <row r="41" spans="4:21" ht="15.75" customHeight="1"/>
    <row r="42" spans="4:21" ht="15.75" customHeight="1"/>
    <row r="43" spans="4:21" ht="15.75" customHeight="1"/>
    <row r="44" spans="4:21" ht="15.75" customHeight="1"/>
    <row r="45" spans="4:21" ht="15.75" customHeight="1"/>
    <row r="46" spans="4:21" ht="15.75" customHeight="1"/>
    <row r="47" spans="4:21" ht="15.75" customHeight="1"/>
    <row r="48" spans="4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00"/>
  <sheetViews>
    <sheetView topLeftCell="A7" workbookViewId="0">
      <selection activeCell="M25" sqref="M25"/>
    </sheetView>
  </sheetViews>
  <sheetFormatPr defaultColWidth="14.453125" defaultRowHeight="15" customHeight="1"/>
  <cols>
    <col min="1" max="1" width="36.54296875" customWidth="1"/>
    <col min="2" max="10" width="8.7265625" customWidth="1"/>
    <col min="11" max="11" width="11.26953125" customWidth="1"/>
    <col min="12" max="26" width="8.7265625" customWidth="1"/>
  </cols>
  <sheetData>
    <row r="1" spans="1:20" ht="26">
      <c r="G1" s="1" t="s">
        <v>0</v>
      </c>
    </row>
    <row r="2" spans="1:20" ht="26">
      <c r="G2" s="1" t="s">
        <v>1</v>
      </c>
    </row>
    <row r="4" spans="1:20" ht="18.5">
      <c r="A4" s="2" t="s">
        <v>43</v>
      </c>
    </row>
    <row r="5" spans="1:20" ht="18.5">
      <c r="A5" s="2" t="s">
        <v>44</v>
      </c>
    </row>
    <row r="6" spans="1:20" ht="18.5">
      <c r="A6" s="2" t="s">
        <v>45</v>
      </c>
    </row>
    <row r="8" spans="1:20" ht="15.5">
      <c r="A8" s="3" t="s">
        <v>19</v>
      </c>
    </row>
    <row r="9" spans="1:20" ht="14.5">
      <c r="D9" s="4" t="s">
        <v>6</v>
      </c>
      <c r="H9" s="5" t="s">
        <v>7</v>
      </c>
    </row>
    <row r="10" spans="1:20" ht="14.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20" ht="14.5">
      <c r="F11" s="6" t="s">
        <v>13</v>
      </c>
      <c r="G11" s="8">
        <v>19</v>
      </c>
      <c r="H11" s="8">
        <v>30</v>
      </c>
      <c r="I11" s="8">
        <v>50</v>
      </c>
      <c r="J11" s="8">
        <v>10</v>
      </c>
      <c r="K11" s="7">
        <v>7</v>
      </c>
      <c r="N11" s="24" t="s">
        <v>42</v>
      </c>
    </row>
    <row r="12" spans="1:20" ht="14.5">
      <c r="E12" s="5" t="s">
        <v>14</v>
      </c>
      <c r="F12" s="6" t="s">
        <v>15</v>
      </c>
      <c r="G12" s="8">
        <v>70</v>
      </c>
      <c r="H12" s="8">
        <v>30</v>
      </c>
      <c r="I12" s="8">
        <v>40</v>
      </c>
      <c r="J12" s="8">
        <v>60</v>
      </c>
      <c r="K12" s="7">
        <v>9</v>
      </c>
      <c r="N12" s="24" t="s">
        <v>12</v>
      </c>
      <c r="O12" s="9">
        <f>SUM(K11:K13)</f>
        <v>34</v>
      </c>
    </row>
    <row r="13" spans="1:20" ht="14.5">
      <c r="F13" s="6" t="s">
        <v>16</v>
      </c>
      <c r="G13" s="8">
        <v>40</v>
      </c>
      <c r="H13" s="8">
        <v>8</v>
      </c>
      <c r="I13" s="8">
        <v>70</v>
      </c>
      <c r="J13" s="8">
        <v>20</v>
      </c>
      <c r="K13" s="7">
        <v>18</v>
      </c>
      <c r="N13" s="24" t="s">
        <v>17</v>
      </c>
      <c r="O13" s="9">
        <f>SUM(G14:J14)</f>
        <v>34</v>
      </c>
    </row>
    <row r="14" spans="1:20" ht="14.5">
      <c r="F14" s="7" t="s">
        <v>17</v>
      </c>
      <c r="G14" s="7">
        <v>5</v>
      </c>
      <c r="H14" s="7">
        <v>8</v>
      </c>
      <c r="I14" s="7">
        <v>7</v>
      </c>
      <c r="J14" s="7">
        <v>14</v>
      </c>
    </row>
    <row r="16" spans="1:20" ht="15" customHeight="1"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4:20" ht="14.5">
      <c r="D17" s="27"/>
      <c r="E17" s="27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4:20" ht="15" customHeight="1" thickTop="1"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4:20" ht="14.5">
      <c r="D19" s="25"/>
      <c r="H19" s="5" t="s">
        <v>7</v>
      </c>
      <c r="L19" s="25"/>
      <c r="M19" s="25"/>
      <c r="N19" s="25"/>
      <c r="O19" s="25"/>
      <c r="P19" s="25"/>
      <c r="Q19" s="25"/>
      <c r="R19" s="25"/>
      <c r="S19" s="25"/>
      <c r="T19" s="25"/>
    </row>
    <row r="20" spans="4:20" thickBot="1">
      <c r="D20" s="25"/>
      <c r="F20" s="6"/>
      <c r="G20" s="6" t="s">
        <v>8</v>
      </c>
      <c r="H20" s="6" t="s">
        <v>9</v>
      </c>
      <c r="I20" s="6" t="s">
        <v>10</v>
      </c>
      <c r="J20" s="6" t="s">
        <v>11</v>
      </c>
      <c r="K20" s="7" t="s">
        <v>12</v>
      </c>
      <c r="L20" s="39" t="s">
        <v>61</v>
      </c>
      <c r="M20" s="31"/>
      <c r="N20" s="25"/>
      <c r="O20" s="25"/>
      <c r="P20" s="25"/>
      <c r="Q20" s="25"/>
      <c r="R20" s="25"/>
      <c r="S20" s="25"/>
      <c r="T20" s="25"/>
    </row>
    <row r="21" spans="4:20" ht="15.75" customHeight="1" thickTop="1" thickBot="1">
      <c r="D21" s="25"/>
      <c r="F21" s="6" t="s">
        <v>13</v>
      </c>
      <c r="G21" s="8">
        <v>5.0000000001892895</v>
      </c>
      <c r="H21" s="8">
        <v>0</v>
      </c>
      <c r="I21" s="8">
        <v>0</v>
      </c>
      <c r="J21" s="8">
        <v>2.0000000000757163</v>
      </c>
      <c r="K21" s="7">
        <v>7</v>
      </c>
      <c r="L21" s="26">
        <f>SUM(G21:J21)</f>
        <v>7.0000000002650058</v>
      </c>
      <c r="M21" s="31"/>
      <c r="N21" s="25"/>
      <c r="O21" s="25"/>
      <c r="P21" s="25"/>
      <c r="Q21" s="25"/>
      <c r="R21" s="25"/>
      <c r="S21" s="25"/>
      <c r="T21" s="25"/>
    </row>
    <row r="22" spans="4:20" ht="15.75" customHeight="1" thickTop="1" thickBot="1">
      <c r="D22" s="25"/>
      <c r="E22" s="5" t="s">
        <v>14</v>
      </c>
      <c r="F22" s="6" t="s">
        <v>15</v>
      </c>
      <c r="G22" s="8">
        <v>0</v>
      </c>
      <c r="H22" s="8">
        <v>2.0000000000757154</v>
      </c>
      <c r="I22" s="8">
        <v>7.0000000002650058</v>
      </c>
      <c r="J22" s="8">
        <v>0</v>
      </c>
      <c r="K22" s="7">
        <v>9</v>
      </c>
      <c r="L22" s="26">
        <f t="shared" ref="L22:L23" si="0">SUM(G22:J22)</f>
        <v>9.0000000003407212</v>
      </c>
      <c r="M22" s="31"/>
      <c r="N22" s="25"/>
      <c r="O22" s="25"/>
      <c r="P22" s="25"/>
      <c r="Q22" s="25"/>
      <c r="R22" s="25"/>
      <c r="S22" s="25"/>
      <c r="T22" s="25"/>
    </row>
    <row r="23" spans="4:20" ht="15.75" customHeight="1" thickTop="1" thickBot="1">
      <c r="D23" s="25"/>
      <c r="F23" s="6" t="s">
        <v>16</v>
      </c>
      <c r="G23" s="8">
        <v>0</v>
      </c>
      <c r="H23" s="8">
        <v>6.0000000002271481</v>
      </c>
      <c r="I23" s="8">
        <v>0</v>
      </c>
      <c r="J23" s="8">
        <v>12.000000000027967</v>
      </c>
      <c r="K23" s="7">
        <v>18</v>
      </c>
      <c r="L23" s="26">
        <f t="shared" si="0"/>
        <v>18.000000000255113</v>
      </c>
      <c r="M23" s="31"/>
      <c r="N23" s="25"/>
      <c r="O23" s="25"/>
      <c r="P23" s="25"/>
      <c r="Q23" s="25"/>
      <c r="R23" s="25"/>
      <c r="S23" s="25"/>
      <c r="T23" s="25"/>
    </row>
    <row r="24" spans="4:20" ht="15.75" customHeight="1" thickTop="1" thickBot="1">
      <c r="D24" s="25"/>
      <c r="F24" s="7" t="s">
        <v>17</v>
      </c>
      <c r="G24" s="7">
        <v>5</v>
      </c>
      <c r="H24" s="7">
        <v>8</v>
      </c>
      <c r="I24" s="7">
        <v>7</v>
      </c>
      <c r="J24" s="7">
        <v>14</v>
      </c>
      <c r="L24" s="25"/>
      <c r="M24" s="25"/>
      <c r="N24" s="25"/>
      <c r="O24" s="25"/>
      <c r="P24" s="25"/>
      <c r="Q24" s="25"/>
      <c r="R24" s="25"/>
      <c r="S24" s="25"/>
      <c r="T24" s="25"/>
    </row>
    <row r="25" spans="4:20" ht="15.75" customHeight="1" thickTop="1">
      <c r="D25" s="25"/>
      <c r="E25" s="25"/>
      <c r="F25" s="42" t="s">
        <v>60</v>
      </c>
      <c r="G25" s="26">
        <f>SUM(G21:G23)</f>
        <v>5.0000000001892895</v>
      </c>
      <c r="H25" s="26">
        <f t="shared" ref="H25:J25" si="1">SUM(H21:H23)</f>
        <v>8.0000000003028635</v>
      </c>
      <c r="I25" s="26">
        <f t="shared" si="1"/>
        <v>7.0000000002650058</v>
      </c>
      <c r="J25" s="26">
        <f t="shared" si="1"/>
        <v>14.000000000103682</v>
      </c>
      <c r="K25" s="32"/>
      <c r="L25" s="32" t="s">
        <v>53</v>
      </c>
      <c r="M25" s="32">
        <f>SUMPRODUCT(G11:J13,G21:J23)</f>
        <v>743.00000001960188</v>
      </c>
      <c r="N25" s="25"/>
      <c r="O25" s="25"/>
      <c r="P25" s="25"/>
      <c r="Q25" s="25"/>
      <c r="R25" s="25"/>
      <c r="S25" s="25"/>
      <c r="T25" s="25"/>
    </row>
    <row r="26" spans="4:20" ht="15.75" customHeight="1">
      <c r="D26" s="25"/>
      <c r="E26" s="25"/>
      <c r="F26" s="31"/>
      <c r="G26" s="31"/>
      <c r="H26" s="31"/>
      <c r="I26" s="31"/>
      <c r="J26" s="31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4:20" ht="15.75" customHeight="1"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4:20" ht="15.75" customHeight="1"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4:20" ht="15.75" customHeight="1"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4:20" ht="15.75" customHeight="1"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4:20" ht="15.75" customHeight="1"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4:20" ht="15.75" customHeight="1"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00"/>
  <sheetViews>
    <sheetView topLeftCell="A4" zoomScale="91" workbookViewId="0">
      <selection activeCell="M25" sqref="M25"/>
    </sheetView>
  </sheetViews>
  <sheetFormatPr defaultColWidth="14.453125" defaultRowHeight="15" customHeight="1"/>
  <cols>
    <col min="1" max="1" width="36" customWidth="1"/>
    <col min="2" max="10" width="8.7265625" customWidth="1"/>
    <col min="11" max="11" width="12.26953125" customWidth="1"/>
    <col min="12" max="26" width="8.7265625" customWidth="1"/>
  </cols>
  <sheetData>
    <row r="1" spans="1:21" ht="26">
      <c r="G1" s="1" t="s">
        <v>0</v>
      </c>
    </row>
    <row r="2" spans="1:21" ht="26">
      <c r="G2" s="1" t="s">
        <v>1</v>
      </c>
    </row>
    <row r="4" spans="1:21" ht="18.5">
      <c r="A4" s="2" t="s">
        <v>43</v>
      </c>
    </row>
    <row r="5" spans="1:21" ht="18.5">
      <c r="A5" s="2" t="s">
        <v>44</v>
      </c>
    </row>
    <row r="6" spans="1:21" ht="18.5">
      <c r="A6" s="2" t="s">
        <v>45</v>
      </c>
    </row>
    <row r="8" spans="1:21" ht="15.5">
      <c r="A8" s="3" t="s">
        <v>20</v>
      </c>
    </row>
    <row r="9" spans="1:21" ht="14.5">
      <c r="D9" s="4" t="s">
        <v>6</v>
      </c>
      <c r="H9" s="5" t="s">
        <v>7</v>
      </c>
    </row>
    <row r="10" spans="1:21" ht="14.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21" ht="14.5">
      <c r="F11" s="6" t="s">
        <v>13</v>
      </c>
      <c r="G11" s="8">
        <v>40</v>
      </c>
      <c r="H11" s="8">
        <v>44</v>
      </c>
      <c r="I11" s="8">
        <v>48</v>
      </c>
      <c r="J11" s="8">
        <v>35</v>
      </c>
      <c r="K11" s="7">
        <v>160</v>
      </c>
      <c r="L11" s="13"/>
      <c r="M11" s="24" t="s">
        <v>42</v>
      </c>
    </row>
    <row r="12" spans="1:21" ht="14.5">
      <c r="E12" s="5" t="s">
        <v>14</v>
      </c>
      <c r="F12" s="6" t="s">
        <v>15</v>
      </c>
      <c r="G12" s="8">
        <v>37</v>
      </c>
      <c r="H12" s="8">
        <v>45</v>
      </c>
      <c r="I12" s="8">
        <v>50</v>
      </c>
      <c r="J12" s="8">
        <v>52</v>
      </c>
      <c r="K12" s="7">
        <v>150</v>
      </c>
      <c r="M12" s="24" t="s">
        <v>12</v>
      </c>
      <c r="N12" s="9">
        <f>SUM(K11:K13)</f>
        <v>500</v>
      </c>
    </row>
    <row r="13" spans="1:21" ht="14.5">
      <c r="F13" s="6" t="s">
        <v>16</v>
      </c>
      <c r="G13" s="8">
        <v>35</v>
      </c>
      <c r="H13" s="8">
        <v>40</v>
      </c>
      <c r="I13" s="8">
        <v>45</v>
      </c>
      <c r="J13" s="8">
        <v>50</v>
      </c>
      <c r="K13" s="7">
        <v>190</v>
      </c>
      <c r="M13" s="24" t="s">
        <v>17</v>
      </c>
      <c r="N13" s="9">
        <f>SUM(G14:J14)</f>
        <v>500</v>
      </c>
    </row>
    <row r="14" spans="1:21" ht="14.5">
      <c r="F14" s="7" t="s">
        <v>17</v>
      </c>
      <c r="G14" s="7">
        <v>80</v>
      </c>
      <c r="H14" s="7">
        <v>90</v>
      </c>
      <c r="I14" s="7">
        <v>110</v>
      </c>
      <c r="J14" s="7">
        <v>220</v>
      </c>
    </row>
    <row r="16" spans="1:21" ht="15" customHeight="1"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spans="3:21" ht="14.5">
      <c r="C17" s="25"/>
      <c r="D17" s="27"/>
      <c r="E17" s="27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3:21" ht="15" customHeight="1"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3:21" ht="14.5">
      <c r="C19" s="25"/>
      <c r="D19" s="25"/>
      <c r="E19" s="25"/>
      <c r="F19" s="25"/>
      <c r="G19" s="25"/>
      <c r="H19" s="28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3:21" thickBot="1">
      <c r="C20" s="25"/>
      <c r="D20" s="25"/>
      <c r="F20" s="6"/>
      <c r="G20" s="6" t="s">
        <v>8</v>
      </c>
      <c r="H20" s="6" t="s">
        <v>9</v>
      </c>
      <c r="I20" s="6" t="s">
        <v>10</v>
      </c>
      <c r="J20" s="6" t="s">
        <v>11</v>
      </c>
      <c r="K20" s="7" t="s">
        <v>12</v>
      </c>
      <c r="L20" s="38" t="s">
        <v>61</v>
      </c>
      <c r="M20" s="35"/>
      <c r="N20" s="25"/>
      <c r="O20" s="25"/>
      <c r="P20" s="25"/>
      <c r="Q20" s="25"/>
      <c r="R20" s="25"/>
      <c r="S20" s="25"/>
      <c r="T20" s="25"/>
      <c r="U20" s="25"/>
    </row>
    <row r="21" spans="3:21" ht="15.75" customHeight="1" thickTop="1" thickBot="1">
      <c r="C21" s="25"/>
      <c r="D21" s="25"/>
      <c r="F21" s="6" t="s">
        <v>13</v>
      </c>
      <c r="G21" s="8">
        <v>0</v>
      </c>
      <c r="H21" s="8">
        <v>0</v>
      </c>
      <c r="I21" s="8">
        <v>0</v>
      </c>
      <c r="J21" s="8">
        <v>159.99999999923602</v>
      </c>
      <c r="K21" s="7">
        <v>160</v>
      </c>
      <c r="L21" s="26">
        <f>SUM(G21:J21)</f>
        <v>159.99999999923602</v>
      </c>
      <c r="M21" s="35"/>
      <c r="N21" s="25"/>
      <c r="O21" s="25"/>
      <c r="P21" s="25"/>
      <c r="Q21" s="25"/>
      <c r="R21" s="25"/>
      <c r="S21" s="25"/>
      <c r="T21" s="25"/>
      <c r="U21" s="25"/>
    </row>
    <row r="22" spans="3:21" ht="15.75" customHeight="1" thickTop="1" thickBot="1">
      <c r="C22" s="25"/>
      <c r="D22" s="25"/>
      <c r="E22" s="5" t="s">
        <v>14</v>
      </c>
      <c r="F22" s="6" t="s">
        <v>15</v>
      </c>
      <c r="G22" s="8">
        <v>79.999999997344275</v>
      </c>
      <c r="H22" s="8">
        <v>9.9999999996680344</v>
      </c>
      <c r="I22" s="8">
        <v>0</v>
      </c>
      <c r="J22" s="8">
        <v>59.999999999713509</v>
      </c>
      <c r="K22" s="7">
        <v>150</v>
      </c>
      <c r="L22" s="26">
        <f t="shared" ref="L22:L23" si="0">SUM(G22:J22)</f>
        <v>149.99999999672582</v>
      </c>
      <c r="M22" s="35"/>
      <c r="N22" s="25"/>
      <c r="O22" s="25"/>
      <c r="P22" s="25"/>
      <c r="Q22" s="25"/>
      <c r="R22" s="25"/>
      <c r="S22" s="25"/>
      <c r="T22" s="25"/>
      <c r="U22" s="25"/>
    </row>
    <row r="23" spans="3:21" ht="15.75" customHeight="1" thickTop="1" thickBot="1">
      <c r="C23" s="25"/>
      <c r="D23" s="25"/>
      <c r="F23" s="6" t="s">
        <v>16</v>
      </c>
      <c r="G23" s="8">
        <v>0</v>
      </c>
      <c r="H23" s="8">
        <v>79.999999997344275</v>
      </c>
      <c r="I23" s="8">
        <v>109.99999999947477</v>
      </c>
      <c r="J23" s="8">
        <v>0</v>
      </c>
      <c r="K23" s="7">
        <v>190</v>
      </c>
      <c r="L23" s="26">
        <f t="shared" si="0"/>
        <v>189.99999999681904</v>
      </c>
      <c r="M23" s="35"/>
      <c r="N23" s="25"/>
      <c r="O23" s="25"/>
      <c r="P23" s="25"/>
      <c r="Q23" s="25"/>
      <c r="R23" s="25"/>
      <c r="S23" s="25"/>
      <c r="T23" s="25"/>
      <c r="U23" s="25"/>
    </row>
    <row r="24" spans="3:21" ht="15.75" customHeight="1" thickTop="1" thickBot="1">
      <c r="C24" s="25"/>
      <c r="D24" s="25"/>
      <c r="F24" s="7" t="s">
        <v>17</v>
      </c>
      <c r="G24" s="7">
        <v>80</v>
      </c>
      <c r="H24" s="7">
        <v>90</v>
      </c>
      <c r="I24" s="7">
        <v>110</v>
      </c>
      <c r="J24" s="7">
        <v>220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3:21" ht="15.75" customHeight="1" thickTop="1">
      <c r="C25" s="25"/>
      <c r="D25" s="25"/>
      <c r="E25" s="25"/>
      <c r="F25" s="38" t="s">
        <v>60</v>
      </c>
      <c r="G25" s="26">
        <f>SUM(G21:G23)</f>
        <v>79.999999997344275</v>
      </c>
      <c r="H25" s="26">
        <f t="shared" ref="H25:J25" si="1">SUM(H21:H23)</f>
        <v>89.99999999701231</v>
      </c>
      <c r="I25" s="26">
        <f t="shared" si="1"/>
        <v>109.99999999947477</v>
      </c>
      <c r="J25" s="26">
        <f t="shared" si="1"/>
        <v>219.99999999894953</v>
      </c>
      <c r="K25" s="32"/>
      <c r="L25" s="32" t="s">
        <v>53</v>
      </c>
      <c r="M25" s="32">
        <f>SUMPRODUCT(G11:J13,G21:J23)</f>
        <v>20279.999999715299</v>
      </c>
      <c r="N25" s="25"/>
      <c r="O25" s="25"/>
      <c r="P25" s="25"/>
      <c r="Q25" s="25"/>
      <c r="R25" s="25"/>
      <c r="S25" s="25"/>
      <c r="T25" s="25"/>
      <c r="U25" s="25"/>
    </row>
    <row r="26" spans="3:21" ht="15.75" customHeight="1">
      <c r="C26" s="25"/>
      <c r="D26" s="25"/>
      <c r="E26" s="25"/>
      <c r="F26" s="35"/>
      <c r="G26" s="35"/>
      <c r="H26" s="35"/>
      <c r="I26" s="35"/>
      <c r="J26" s="3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3:21" ht="15.75" customHeight="1"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3:21" ht="15.75" customHeight="1"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3:21" ht="15.75" customHeight="1"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3:21" ht="15.75" customHeight="1"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3:21" ht="15.75" customHeight="1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3:21" ht="15.75" customHeight="1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3:21" ht="15.75" customHeight="1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3:21" ht="15.75" customHeight="1"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3:21" ht="15.75" customHeight="1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3:21" ht="15.75" customHeight="1"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3:21" ht="15.75" customHeight="1"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3:21" ht="15.75" customHeight="1"/>
    <row r="39" spans="3:21" ht="15.75" customHeight="1"/>
    <row r="40" spans="3:21" ht="15.75" customHeight="1"/>
    <row r="41" spans="3:21" ht="15.75" customHeight="1"/>
    <row r="42" spans="3:21" ht="15.75" customHeight="1"/>
    <row r="43" spans="3:21" ht="15.75" customHeight="1"/>
    <row r="44" spans="3:21" ht="15.75" customHeight="1"/>
    <row r="45" spans="3:21" ht="15.75" customHeight="1"/>
    <row r="46" spans="3:21" ht="15.75" customHeight="1"/>
    <row r="47" spans="3:21" ht="15.75" customHeight="1"/>
    <row r="48" spans="3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000"/>
  <sheetViews>
    <sheetView topLeftCell="B4" zoomScale="87" workbookViewId="0">
      <selection activeCell="L27" sqref="L27"/>
    </sheetView>
  </sheetViews>
  <sheetFormatPr defaultColWidth="14.453125" defaultRowHeight="15" customHeight="1"/>
  <cols>
    <col min="1" max="1" width="36" customWidth="1"/>
    <col min="2" max="9" width="8.7265625" customWidth="1"/>
    <col min="10" max="10" width="11.7265625" customWidth="1"/>
    <col min="11" max="26" width="8.7265625" customWidth="1"/>
  </cols>
  <sheetData>
    <row r="1" spans="1:13" ht="26">
      <c r="G1" s="1" t="s">
        <v>0</v>
      </c>
    </row>
    <row r="2" spans="1:13" ht="26">
      <c r="G2" s="1" t="s">
        <v>1</v>
      </c>
    </row>
    <row r="3" spans="1:13" ht="15" customHeight="1">
      <c r="B3" s="2" t="s">
        <v>43</v>
      </c>
    </row>
    <row r="4" spans="1:13" ht="18.5">
      <c r="A4" s="2" t="s">
        <v>2</v>
      </c>
      <c r="B4" s="2" t="s">
        <v>44</v>
      </c>
    </row>
    <row r="5" spans="1:13" ht="18.5">
      <c r="A5" s="2" t="s">
        <v>3</v>
      </c>
      <c r="B5" s="2" t="s">
        <v>45</v>
      </c>
    </row>
    <row r="6" spans="1:13" ht="18.5">
      <c r="A6" s="2" t="s">
        <v>4</v>
      </c>
    </row>
    <row r="8" spans="1:13" ht="15.5">
      <c r="A8" s="3" t="s">
        <v>21</v>
      </c>
    </row>
    <row r="9" spans="1:13" ht="14.5">
      <c r="D9" s="4" t="s">
        <v>6</v>
      </c>
      <c r="H9" s="5" t="s">
        <v>7</v>
      </c>
    </row>
    <row r="10" spans="1:13" ht="14.5">
      <c r="F10" s="6"/>
      <c r="G10" s="6" t="s">
        <v>8</v>
      </c>
      <c r="H10" s="6" t="s">
        <v>9</v>
      </c>
      <c r="I10" s="6" t="s">
        <v>10</v>
      </c>
      <c r="J10" s="7" t="s">
        <v>12</v>
      </c>
    </row>
    <row r="11" spans="1:13" ht="14.5">
      <c r="F11" s="6" t="s">
        <v>13</v>
      </c>
      <c r="G11" s="8">
        <v>10</v>
      </c>
      <c r="H11" s="8">
        <v>9</v>
      </c>
      <c r="I11" s="8">
        <v>8</v>
      </c>
      <c r="J11" s="7">
        <v>8</v>
      </c>
      <c r="K11" s="13"/>
      <c r="L11" s="24" t="s">
        <v>42</v>
      </c>
    </row>
    <row r="12" spans="1:13" ht="14.5">
      <c r="E12" s="5" t="s">
        <v>14</v>
      </c>
      <c r="F12" s="6" t="s">
        <v>15</v>
      </c>
      <c r="G12" s="8">
        <v>10</v>
      </c>
      <c r="H12" s="8">
        <v>7</v>
      </c>
      <c r="I12" s="8">
        <v>10</v>
      </c>
      <c r="J12" s="7">
        <v>7</v>
      </c>
      <c r="L12" s="24" t="s">
        <v>12</v>
      </c>
      <c r="M12" s="9">
        <f>SUM(J11:J14)</f>
        <v>28</v>
      </c>
    </row>
    <row r="13" spans="1:13" ht="14.5">
      <c r="F13" s="6" t="s">
        <v>16</v>
      </c>
      <c r="G13" s="8">
        <v>11</v>
      </c>
      <c r="H13" s="8">
        <v>9</v>
      </c>
      <c r="I13" s="8">
        <v>7</v>
      </c>
      <c r="J13" s="7">
        <v>9</v>
      </c>
      <c r="L13" s="24" t="s">
        <v>17</v>
      </c>
      <c r="M13" s="9">
        <f>SUM(G15:I15)</f>
        <v>28</v>
      </c>
    </row>
    <row r="14" spans="1:13" ht="14.5">
      <c r="F14" s="6" t="s">
        <v>22</v>
      </c>
      <c r="G14" s="8">
        <v>12</v>
      </c>
      <c r="H14" s="8">
        <v>14</v>
      </c>
      <c r="I14" s="8">
        <v>10</v>
      </c>
      <c r="J14" s="7">
        <v>4</v>
      </c>
    </row>
    <row r="15" spans="1:13" ht="14.5">
      <c r="F15" s="7" t="s">
        <v>17</v>
      </c>
      <c r="G15" s="7">
        <v>10</v>
      </c>
      <c r="H15" s="7">
        <v>10</v>
      </c>
      <c r="I15" s="7">
        <v>8</v>
      </c>
    </row>
    <row r="18" spans="3:18" ht="14.5">
      <c r="C18" s="25"/>
      <c r="D18" s="27"/>
      <c r="E18" s="27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3:18" ht="15" customHeight="1"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3:18" ht="14.5">
      <c r="C20" s="25"/>
      <c r="D20" s="25"/>
      <c r="E20" s="25"/>
      <c r="F20" s="25"/>
      <c r="G20" s="25"/>
      <c r="H20" s="28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3:18" ht="15.75" customHeight="1" thickBot="1">
      <c r="C21" s="25"/>
      <c r="D21" s="25"/>
      <c r="F21" s="6"/>
      <c r="G21" s="6" t="s">
        <v>8</v>
      </c>
      <c r="H21" s="6" t="s">
        <v>9</v>
      </c>
      <c r="I21" s="6" t="s">
        <v>10</v>
      </c>
      <c r="J21" s="7" t="s">
        <v>12</v>
      </c>
      <c r="K21" s="47" t="s">
        <v>61</v>
      </c>
      <c r="L21" s="35"/>
      <c r="M21" s="25"/>
      <c r="N21" s="25"/>
      <c r="O21" s="25"/>
      <c r="P21" s="25"/>
      <c r="Q21" s="25"/>
      <c r="R21" s="25"/>
    </row>
    <row r="22" spans="3:18" ht="15.75" customHeight="1" thickTop="1" thickBot="1">
      <c r="C22" s="25"/>
      <c r="D22" s="25"/>
      <c r="F22" s="6" t="s">
        <v>13</v>
      </c>
      <c r="G22" s="8">
        <v>6.0000000004047847</v>
      </c>
      <c r="H22" s="8">
        <v>1.9999999998980789</v>
      </c>
      <c r="I22" s="8">
        <v>0</v>
      </c>
      <c r="J22" s="7">
        <v>8</v>
      </c>
      <c r="K22" s="26">
        <f>SUM(G22:I22)</f>
        <v>8.0000000003028635</v>
      </c>
      <c r="L22" s="35"/>
      <c r="M22" s="25"/>
      <c r="N22" s="25"/>
      <c r="O22" s="25"/>
      <c r="P22" s="25"/>
      <c r="Q22" s="25"/>
      <c r="R22" s="25"/>
    </row>
    <row r="23" spans="3:18" ht="15.75" customHeight="1" thickTop="1" thickBot="1">
      <c r="C23" s="25"/>
      <c r="D23" s="25"/>
      <c r="E23" s="5" t="s">
        <v>14</v>
      </c>
      <c r="F23" s="6" t="s">
        <v>15</v>
      </c>
      <c r="G23" s="8">
        <v>0</v>
      </c>
      <c r="H23" s="8">
        <v>7.0000000002650058</v>
      </c>
      <c r="I23" s="8">
        <v>0</v>
      </c>
      <c r="J23" s="7">
        <v>7</v>
      </c>
      <c r="K23" s="26">
        <f t="shared" ref="K23:K25" si="0">SUM(G23:I23)</f>
        <v>7.0000000002650058</v>
      </c>
      <c r="L23" s="35"/>
      <c r="M23" s="25"/>
      <c r="N23" s="25"/>
      <c r="O23" s="25"/>
      <c r="P23" s="25"/>
      <c r="Q23" s="25"/>
      <c r="R23" s="25"/>
    </row>
    <row r="24" spans="3:18" ht="15.75" customHeight="1" thickTop="1" thickBot="1">
      <c r="C24" s="25"/>
      <c r="D24" s="25"/>
      <c r="F24" s="6" t="s">
        <v>16</v>
      </c>
      <c r="G24" s="8">
        <v>0</v>
      </c>
      <c r="H24" s="8">
        <v>1.0000000001799669</v>
      </c>
      <c r="I24" s="8">
        <v>8.0000000001252261</v>
      </c>
      <c r="J24" s="7">
        <v>9</v>
      </c>
      <c r="K24" s="26">
        <f t="shared" si="0"/>
        <v>9.0000000003051923</v>
      </c>
      <c r="L24" s="35"/>
      <c r="M24" s="25"/>
      <c r="N24" s="25"/>
      <c r="O24" s="25"/>
      <c r="P24" s="25"/>
      <c r="Q24" s="25"/>
      <c r="R24" s="25"/>
    </row>
    <row r="25" spans="3:18" ht="15.75" customHeight="1" thickTop="1" thickBot="1">
      <c r="C25" s="25"/>
      <c r="D25" s="25"/>
      <c r="F25" s="6" t="s">
        <v>22</v>
      </c>
      <c r="G25" s="8">
        <v>3.9999999999737952</v>
      </c>
      <c r="H25" s="8">
        <v>0</v>
      </c>
      <c r="I25" s="8">
        <v>0</v>
      </c>
      <c r="J25" s="7">
        <v>4</v>
      </c>
      <c r="K25" s="26">
        <f t="shared" si="0"/>
        <v>3.9999999999737952</v>
      </c>
      <c r="L25" s="35"/>
      <c r="M25" s="25"/>
      <c r="N25" s="25"/>
      <c r="O25" s="25"/>
      <c r="P25" s="25"/>
      <c r="Q25" s="25"/>
      <c r="R25" s="25"/>
    </row>
    <row r="26" spans="3:18" ht="15.75" customHeight="1" thickTop="1" thickBot="1">
      <c r="C26" s="25"/>
      <c r="D26" s="25"/>
      <c r="F26" s="7" t="s">
        <v>17</v>
      </c>
      <c r="G26" s="7">
        <v>10</v>
      </c>
      <c r="H26" s="7">
        <v>10</v>
      </c>
      <c r="I26" s="7">
        <v>8</v>
      </c>
      <c r="K26" s="25"/>
      <c r="L26" s="25"/>
      <c r="M26" s="25"/>
      <c r="N26" s="25"/>
      <c r="O26" s="25"/>
      <c r="P26" s="25"/>
      <c r="Q26" s="25"/>
      <c r="R26" s="25"/>
    </row>
    <row r="27" spans="3:18" ht="15.75" customHeight="1" thickTop="1">
      <c r="C27" s="25"/>
      <c r="D27" s="25"/>
      <c r="E27" s="25"/>
      <c r="F27" s="38" t="s">
        <v>60</v>
      </c>
      <c r="G27" s="36">
        <f>SUM(G22:G25)</f>
        <v>10.000000000378581</v>
      </c>
      <c r="H27" s="36">
        <f t="shared" ref="H27:I27" si="1">SUM(H22:H25)</f>
        <v>10.00000000034305</v>
      </c>
      <c r="I27" s="36">
        <f t="shared" si="1"/>
        <v>8.0000000001252261</v>
      </c>
      <c r="J27" s="32"/>
      <c r="K27" s="32" t="s">
        <v>62</v>
      </c>
      <c r="L27" s="32">
        <f>SUMPRODUCT(G11:I14,G22:I25)</f>
        <v>240.00000000716744</v>
      </c>
      <c r="M27" s="25"/>
      <c r="N27" s="25"/>
      <c r="O27" s="25"/>
      <c r="P27" s="25"/>
      <c r="Q27" s="25"/>
      <c r="R27" s="25"/>
    </row>
    <row r="28" spans="3:18" ht="15.75" customHeight="1">
      <c r="C28" s="25"/>
      <c r="D28" s="25"/>
      <c r="E28" s="25"/>
      <c r="F28" s="35"/>
      <c r="G28" s="35"/>
      <c r="H28" s="35"/>
      <c r="I28" s="35"/>
      <c r="J28" s="25"/>
      <c r="K28" s="25"/>
      <c r="L28" s="25"/>
      <c r="M28" s="25"/>
      <c r="N28" s="25"/>
      <c r="O28" s="25"/>
      <c r="P28" s="25"/>
      <c r="Q28" s="25"/>
      <c r="R28" s="25"/>
    </row>
    <row r="29" spans="3:18" ht="15.75" customHeight="1"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3:18" ht="15.75" customHeight="1"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3:18" ht="15.75" customHeight="1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3:18" ht="15.75" customHeight="1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3:18" ht="15.75" customHeight="1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3:18" ht="15.75" customHeight="1"/>
    <row r="35" spans="3:18" ht="15.75" customHeight="1"/>
    <row r="36" spans="3:18" ht="15.75" customHeight="1"/>
    <row r="37" spans="3:18" ht="15.75" customHeight="1"/>
    <row r="38" spans="3:18" ht="15.75" customHeight="1"/>
    <row r="39" spans="3:18" ht="15.75" customHeight="1"/>
    <row r="40" spans="3:18" ht="15.75" customHeight="1"/>
    <row r="41" spans="3:18" ht="15.75" customHeight="1"/>
    <row r="42" spans="3:18" ht="15.75" customHeight="1"/>
    <row r="43" spans="3:18" ht="15.75" customHeight="1"/>
    <row r="44" spans="3:18" ht="15.75" customHeight="1"/>
    <row r="45" spans="3:18" ht="15.75" customHeight="1"/>
    <row r="46" spans="3:18" ht="15.75" customHeight="1"/>
    <row r="47" spans="3:18" ht="15.75" customHeight="1"/>
    <row r="48" spans="3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000"/>
  <sheetViews>
    <sheetView topLeftCell="B10" zoomScale="125" workbookViewId="0">
      <selection activeCell="L25" sqref="L25"/>
    </sheetView>
  </sheetViews>
  <sheetFormatPr defaultColWidth="14.453125" defaultRowHeight="15" customHeight="1"/>
  <cols>
    <col min="1" max="1" width="37.1796875" customWidth="1"/>
    <col min="2" max="9" width="8.7265625" customWidth="1"/>
    <col min="10" max="10" width="11.54296875" customWidth="1"/>
    <col min="11" max="26" width="8.7265625" customWidth="1"/>
  </cols>
  <sheetData>
    <row r="1" spans="1:14" ht="26">
      <c r="G1" s="1" t="s">
        <v>0</v>
      </c>
    </row>
    <row r="2" spans="1:14" ht="26">
      <c r="G2" s="1" t="s">
        <v>1</v>
      </c>
    </row>
    <row r="4" spans="1:14" ht="18.5">
      <c r="A4" s="2" t="s">
        <v>43</v>
      </c>
    </row>
    <row r="5" spans="1:14" ht="18.5">
      <c r="A5" s="2" t="s">
        <v>44</v>
      </c>
    </row>
    <row r="6" spans="1:14" ht="18.5">
      <c r="A6" s="2" t="s">
        <v>45</v>
      </c>
    </row>
    <row r="8" spans="1:14" ht="15.5">
      <c r="A8" s="3" t="s">
        <v>23</v>
      </c>
    </row>
    <row r="9" spans="1:14" ht="14.5">
      <c r="D9" s="4" t="s">
        <v>6</v>
      </c>
      <c r="H9" s="5" t="s">
        <v>7</v>
      </c>
    </row>
    <row r="10" spans="1:14" ht="14.5">
      <c r="F10" s="6"/>
      <c r="G10" s="6" t="s">
        <v>8</v>
      </c>
      <c r="H10" s="6" t="s">
        <v>9</v>
      </c>
      <c r="I10" s="6" t="s">
        <v>10</v>
      </c>
      <c r="J10" s="7" t="s">
        <v>12</v>
      </c>
    </row>
    <row r="11" spans="1:14" ht="14.5">
      <c r="F11" s="6" t="s">
        <v>13</v>
      </c>
      <c r="G11" s="8">
        <v>8</v>
      </c>
      <c r="H11" s="8">
        <v>7</v>
      </c>
      <c r="I11" s="8">
        <v>3</v>
      </c>
      <c r="J11" s="7">
        <v>60</v>
      </c>
      <c r="K11" s="13"/>
    </row>
    <row r="12" spans="1:14" ht="14.5">
      <c r="E12" s="5" t="s">
        <v>14</v>
      </c>
      <c r="F12" s="6" t="s">
        <v>15</v>
      </c>
      <c r="G12" s="8">
        <v>3</v>
      </c>
      <c r="H12" s="8">
        <v>8</v>
      </c>
      <c r="I12" s="8">
        <v>9</v>
      </c>
      <c r="J12" s="7">
        <v>70</v>
      </c>
      <c r="L12" s="24" t="s">
        <v>42</v>
      </c>
    </row>
    <row r="13" spans="1:14" ht="14.5">
      <c r="F13" s="6" t="s">
        <v>16</v>
      </c>
      <c r="G13" s="8">
        <v>11</v>
      </c>
      <c r="H13" s="8">
        <v>3</v>
      </c>
      <c r="I13" s="8">
        <v>5</v>
      </c>
      <c r="J13" s="7">
        <v>80</v>
      </c>
      <c r="L13" s="24" t="s">
        <v>12</v>
      </c>
      <c r="M13" s="9">
        <f>SUM(J11:J13)</f>
        <v>210</v>
      </c>
    </row>
    <row r="14" spans="1:14" ht="14.5">
      <c r="F14" s="7" t="s">
        <v>17</v>
      </c>
      <c r="G14" s="7">
        <v>50</v>
      </c>
      <c r="H14" s="7">
        <v>80</v>
      </c>
      <c r="I14" s="7">
        <v>80</v>
      </c>
      <c r="L14" s="24" t="s">
        <v>17</v>
      </c>
      <c r="M14" s="9">
        <f>SUM(G14:I14)</f>
        <v>210</v>
      </c>
    </row>
    <row r="15" spans="1:14" ht="14.5">
      <c r="C15" s="25"/>
      <c r="D15" s="25"/>
      <c r="E15" s="25"/>
      <c r="F15" s="25"/>
      <c r="G15" s="25"/>
      <c r="H15" s="25"/>
      <c r="I15" s="25"/>
      <c r="J15" s="25"/>
      <c r="K15" s="25"/>
      <c r="L15" s="36"/>
      <c r="M15" s="25"/>
      <c r="N15" s="25"/>
    </row>
    <row r="16" spans="1:14" ht="15" customHeight="1"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3:14" ht="14.5">
      <c r="C17" s="25"/>
      <c r="D17" s="27"/>
      <c r="E17" s="27"/>
      <c r="F17" s="25"/>
      <c r="G17" s="25"/>
      <c r="H17" s="25"/>
      <c r="I17" s="25"/>
      <c r="J17" s="25"/>
      <c r="K17" s="25"/>
      <c r="L17" s="25"/>
      <c r="M17" s="25"/>
      <c r="N17" s="25"/>
    </row>
    <row r="18" spans="3:14" ht="15" customHeight="1"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3:14" ht="14.5">
      <c r="C19" s="25"/>
      <c r="D19" s="25"/>
      <c r="E19" s="25"/>
      <c r="F19" s="25"/>
      <c r="G19" s="25"/>
      <c r="H19" s="28"/>
      <c r="I19" s="25"/>
      <c r="J19" s="36"/>
      <c r="K19" s="36"/>
      <c r="L19" s="36"/>
      <c r="M19" s="25"/>
      <c r="N19" s="25"/>
    </row>
    <row r="20" spans="3:14" thickBot="1">
      <c r="C20" s="25"/>
      <c r="D20" s="25"/>
      <c r="F20" s="6"/>
      <c r="G20" s="6" t="s">
        <v>8</v>
      </c>
      <c r="H20" s="6" t="s">
        <v>9</v>
      </c>
      <c r="I20" s="6" t="s">
        <v>10</v>
      </c>
      <c r="J20" s="7" t="s">
        <v>12</v>
      </c>
      <c r="K20" s="38" t="s">
        <v>54</v>
      </c>
      <c r="L20" s="35"/>
      <c r="M20" s="25"/>
      <c r="N20" s="25"/>
    </row>
    <row r="21" spans="3:14" ht="15.75" customHeight="1" thickTop="1" thickBot="1">
      <c r="C21" s="25"/>
      <c r="D21" s="25"/>
      <c r="F21" s="6" t="s">
        <v>13</v>
      </c>
      <c r="G21" s="8">
        <v>0</v>
      </c>
      <c r="H21" s="8">
        <v>0</v>
      </c>
      <c r="I21" s="8">
        <v>59.999999998008207</v>
      </c>
      <c r="J21" s="7">
        <v>60</v>
      </c>
      <c r="K21" s="36">
        <f>SUM(G21:I21)</f>
        <v>59.999999998008207</v>
      </c>
      <c r="L21" s="35"/>
      <c r="M21" s="25"/>
      <c r="N21" s="25"/>
    </row>
    <row r="22" spans="3:14" ht="15.75" customHeight="1" thickTop="1" thickBot="1">
      <c r="C22" s="25"/>
      <c r="D22" s="25"/>
      <c r="E22" s="5" t="s">
        <v>14</v>
      </c>
      <c r="F22" s="6" t="s">
        <v>15</v>
      </c>
      <c r="G22" s="8">
        <v>49.999999998340172</v>
      </c>
      <c r="H22" s="8">
        <v>0</v>
      </c>
      <c r="I22" s="8">
        <v>19.999999999336069</v>
      </c>
      <c r="J22" s="7">
        <v>70</v>
      </c>
      <c r="K22" s="36">
        <f t="shared" ref="K22:K23" si="0">SUM(G22:I22)</f>
        <v>69.999999997676241</v>
      </c>
      <c r="L22" s="35"/>
      <c r="M22" s="25"/>
      <c r="N22" s="25"/>
    </row>
    <row r="23" spans="3:14" ht="15.75" customHeight="1" thickTop="1" thickBot="1">
      <c r="C23" s="25"/>
      <c r="D23" s="25"/>
      <c r="F23" s="6" t="s">
        <v>16</v>
      </c>
      <c r="G23" s="8">
        <v>0</v>
      </c>
      <c r="H23" s="8">
        <v>79.999999997344275</v>
      </c>
      <c r="I23" s="8">
        <v>0</v>
      </c>
      <c r="J23" s="7">
        <v>80</v>
      </c>
      <c r="K23" s="36">
        <f t="shared" si="0"/>
        <v>79.999999997344275</v>
      </c>
      <c r="L23" s="35"/>
      <c r="M23" s="25"/>
      <c r="N23" s="25"/>
    </row>
    <row r="24" spans="3:14" ht="15.75" customHeight="1" thickTop="1" thickBot="1">
      <c r="C24" s="25"/>
      <c r="D24" s="25"/>
      <c r="F24" s="7" t="s">
        <v>17</v>
      </c>
      <c r="G24" s="7">
        <v>50</v>
      </c>
      <c r="H24" s="7">
        <v>80</v>
      </c>
      <c r="I24" s="7">
        <v>80</v>
      </c>
      <c r="K24" s="25"/>
      <c r="L24" s="25"/>
      <c r="M24" s="25"/>
      <c r="N24" s="25"/>
    </row>
    <row r="25" spans="3:14" ht="15.75" customHeight="1" thickTop="1">
      <c r="C25" s="25"/>
      <c r="D25" s="25"/>
      <c r="E25" s="25"/>
      <c r="F25" s="38" t="s">
        <v>60</v>
      </c>
      <c r="G25" s="36">
        <f>SUM(G21:G23)</f>
        <v>49.999999998340172</v>
      </c>
      <c r="H25" s="36">
        <f t="shared" ref="H25:I25" si="1">SUM(H21:H23)</f>
        <v>79.999999997344275</v>
      </c>
      <c r="I25" s="36">
        <f t="shared" si="1"/>
        <v>79.999999997344275</v>
      </c>
      <c r="J25" s="32"/>
      <c r="K25" s="32" t="s">
        <v>53</v>
      </c>
      <c r="L25" s="32">
        <f>SUMPRODUCT(G11:I13,G21:I23)</f>
        <v>749.99999997510258</v>
      </c>
      <c r="M25" s="25"/>
      <c r="N25" s="25"/>
    </row>
    <row r="26" spans="3:14" ht="15.75" customHeight="1">
      <c r="C26" s="25"/>
      <c r="D26" s="25"/>
      <c r="E26" s="25"/>
      <c r="F26" s="35"/>
      <c r="G26" s="35"/>
      <c r="H26" s="35"/>
      <c r="I26" s="35"/>
      <c r="J26" s="25"/>
      <c r="K26" s="25"/>
      <c r="L26" s="25"/>
      <c r="M26" s="25"/>
      <c r="N26" s="25"/>
    </row>
    <row r="27" spans="3:14" ht="15.75" customHeight="1">
      <c r="C27" s="25"/>
      <c r="D27" s="25"/>
      <c r="E27" s="25"/>
      <c r="F27" s="36"/>
      <c r="G27" s="36"/>
      <c r="H27" s="36"/>
      <c r="I27" s="36"/>
      <c r="J27" s="25"/>
      <c r="K27" s="25"/>
      <c r="L27" s="25"/>
      <c r="M27" s="25"/>
      <c r="N27" s="25"/>
    </row>
    <row r="28" spans="3:14" ht="15.75" customHeight="1">
      <c r="C28" s="25"/>
      <c r="D28" s="25"/>
      <c r="E28" s="25"/>
      <c r="F28" s="36"/>
      <c r="G28" s="36"/>
      <c r="H28" s="36"/>
      <c r="I28" s="36"/>
      <c r="J28" s="25"/>
      <c r="K28" s="25"/>
      <c r="L28" s="25"/>
      <c r="M28" s="25"/>
      <c r="N28" s="25"/>
    </row>
    <row r="29" spans="3:14" ht="15.75" customHeight="1"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spans="3:14" ht="15.75" customHeight="1"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spans="3:14" ht="15.75" customHeight="1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3:14" ht="15.75" customHeight="1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3:14" ht="15.75" customHeight="1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spans="3:14" ht="15.75" customHeight="1"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spans="3:14" ht="15.75" customHeight="1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spans="3:14" ht="15.75" customHeight="1"/>
    <row r="37" spans="3:14" ht="15.75" customHeight="1"/>
    <row r="38" spans="3:14" ht="15.75" customHeight="1"/>
    <row r="39" spans="3:14" ht="15.75" customHeight="1"/>
    <row r="40" spans="3:14" ht="15.75" customHeight="1"/>
    <row r="41" spans="3:14" ht="15.75" customHeight="1"/>
    <row r="42" spans="3:14" ht="15.75" customHeight="1"/>
    <row r="43" spans="3:14" ht="15.75" customHeight="1"/>
    <row r="44" spans="3:14" ht="15.75" customHeight="1"/>
    <row r="45" spans="3:14" ht="15.75" customHeight="1"/>
    <row r="46" spans="3:14" ht="15.75" customHeight="1"/>
    <row r="47" spans="3:14" ht="15.75" customHeight="1"/>
    <row r="48" spans="3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00"/>
  <sheetViews>
    <sheetView topLeftCell="A10" workbookViewId="0">
      <selection activeCell="O27" sqref="O27"/>
    </sheetView>
  </sheetViews>
  <sheetFormatPr defaultColWidth="14.453125" defaultRowHeight="15" customHeight="1"/>
  <cols>
    <col min="1" max="1" width="36.54296875" customWidth="1"/>
    <col min="2" max="26" width="8.7265625" customWidth="1"/>
  </cols>
  <sheetData>
    <row r="1" spans="1:16" ht="26">
      <c r="G1" s="1" t="s">
        <v>0</v>
      </c>
    </row>
    <row r="2" spans="1:16" ht="26">
      <c r="G2" s="1" t="s">
        <v>1</v>
      </c>
    </row>
    <row r="4" spans="1:16" ht="18.5">
      <c r="A4" s="2" t="s">
        <v>43</v>
      </c>
    </row>
    <row r="5" spans="1:16" ht="18.5">
      <c r="A5" s="2" t="s">
        <v>44</v>
      </c>
    </row>
    <row r="6" spans="1:16" ht="18.5">
      <c r="A6" s="2" t="s">
        <v>45</v>
      </c>
    </row>
    <row r="8" spans="1:16" ht="15.5">
      <c r="A8" s="3" t="s">
        <v>24</v>
      </c>
    </row>
    <row r="9" spans="1:16" ht="14.5">
      <c r="D9" s="4" t="s">
        <v>6</v>
      </c>
      <c r="H9" s="5" t="s">
        <v>7</v>
      </c>
    </row>
    <row r="10" spans="1:16" ht="14.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25</v>
      </c>
      <c r="L10" s="6" t="s">
        <v>26</v>
      </c>
      <c r="M10" s="7" t="s">
        <v>12</v>
      </c>
    </row>
    <row r="11" spans="1:16" ht="14.5">
      <c r="F11" s="6" t="s">
        <v>13</v>
      </c>
      <c r="G11" s="8">
        <v>5</v>
      </c>
      <c r="H11" s="8">
        <v>3</v>
      </c>
      <c r="I11" s="8">
        <v>7</v>
      </c>
      <c r="J11" s="8">
        <v>3</v>
      </c>
      <c r="K11" s="8">
        <v>8</v>
      </c>
      <c r="L11" s="8">
        <v>5</v>
      </c>
      <c r="M11" s="7">
        <v>3</v>
      </c>
      <c r="N11" s="12"/>
    </row>
    <row r="12" spans="1:16" ht="14.5">
      <c r="E12" s="5" t="s">
        <v>14</v>
      </c>
      <c r="F12" s="6" t="s">
        <v>15</v>
      </c>
      <c r="G12" s="8">
        <v>5</v>
      </c>
      <c r="H12" s="8">
        <v>6</v>
      </c>
      <c r="I12" s="8">
        <v>12</v>
      </c>
      <c r="J12" s="8">
        <v>5</v>
      </c>
      <c r="K12" s="8">
        <v>7</v>
      </c>
      <c r="L12" s="8">
        <v>11</v>
      </c>
      <c r="M12" s="7">
        <v>4</v>
      </c>
      <c r="O12" s="24" t="s">
        <v>42</v>
      </c>
    </row>
    <row r="13" spans="1:16" ht="14.5">
      <c r="F13" s="6" t="s">
        <v>16</v>
      </c>
      <c r="G13" s="8">
        <v>2</v>
      </c>
      <c r="H13" s="8">
        <v>1</v>
      </c>
      <c r="I13" s="8">
        <v>3</v>
      </c>
      <c r="J13" s="8">
        <v>4</v>
      </c>
      <c r="K13" s="8">
        <v>8</v>
      </c>
      <c r="L13" s="8">
        <v>2</v>
      </c>
      <c r="M13" s="7">
        <v>2</v>
      </c>
      <c r="O13" s="24" t="s">
        <v>12</v>
      </c>
      <c r="P13" s="9">
        <f>SUM(M11:M14)</f>
        <v>17</v>
      </c>
    </row>
    <row r="14" spans="1:16" ht="14.5">
      <c r="F14" s="6" t="s">
        <v>22</v>
      </c>
      <c r="G14" s="8">
        <v>9</v>
      </c>
      <c r="H14" s="8">
        <v>6</v>
      </c>
      <c r="I14" s="8">
        <v>10</v>
      </c>
      <c r="J14" s="8">
        <v>5</v>
      </c>
      <c r="K14" s="8">
        <v>10</v>
      </c>
      <c r="L14" s="8">
        <v>9</v>
      </c>
      <c r="M14" s="7">
        <v>8</v>
      </c>
      <c r="O14" s="24" t="s">
        <v>17</v>
      </c>
      <c r="P14" s="9">
        <f>SUM(G15:L15)</f>
        <v>17</v>
      </c>
    </row>
    <row r="15" spans="1:16" ht="14.5">
      <c r="F15" s="7" t="s">
        <v>17</v>
      </c>
      <c r="G15" s="7">
        <v>3</v>
      </c>
      <c r="H15" s="7">
        <v>3</v>
      </c>
      <c r="I15" s="7">
        <v>6</v>
      </c>
      <c r="J15" s="7">
        <v>2</v>
      </c>
      <c r="K15" s="7">
        <v>1</v>
      </c>
      <c r="L15" s="7">
        <v>2</v>
      </c>
    </row>
    <row r="17" spans="3:21" ht="15" customHeight="1"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3:21" ht="14.5">
      <c r="C18" s="25"/>
      <c r="D18" s="27"/>
      <c r="E18" s="27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3:21" ht="15" customHeight="1"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36"/>
      <c r="N19" s="36"/>
      <c r="O19" s="36"/>
      <c r="P19" s="25"/>
      <c r="Q19" s="25"/>
      <c r="R19" s="25"/>
      <c r="S19" s="25"/>
      <c r="T19" s="25"/>
      <c r="U19" s="25"/>
    </row>
    <row r="20" spans="3:21" ht="14.5">
      <c r="C20" s="25"/>
      <c r="D20" s="25"/>
      <c r="E20" s="25"/>
      <c r="F20" s="25"/>
      <c r="G20" s="25"/>
      <c r="H20" s="28"/>
      <c r="I20" s="25"/>
      <c r="J20" s="25"/>
      <c r="K20" s="25"/>
      <c r="L20" s="25"/>
      <c r="M20" s="36"/>
      <c r="N20" s="36"/>
      <c r="O20" s="36"/>
      <c r="P20" s="25"/>
      <c r="Q20" s="25"/>
      <c r="R20" s="25"/>
      <c r="S20" s="25"/>
      <c r="T20" s="25"/>
      <c r="U20" s="25"/>
    </row>
    <row r="21" spans="3:21" ht="15.75" customHeight="1">
      <c r="C21" s="25"/>
      <c r="D21" s="25"/>
      <c r="H21" s="5" t="s">
        <v>7</v>
      </c>
      <c r="N21" s="36"/>
      <c r="O21" s="35"/>
      <c r="P21" s="25"/>
      <c r="Q21" s="25"/>
      <c r="R21" s="25"/>
      <c r="S21" s="25"/>
      <c r="T21" s="25"/>
      <c r="U21" s="25"/>
    </row>
    <row r="22" spans="3:21" ht="15.75" customHeight="1" thickBot="1">
      <c r="C22" s="25"/>
      <c r="D22" s="25"/>
      <c r="F22" s="6"/>
      <c r="G22" s="6" t="s">
        <v>8</v>
      </c>
      <c r="H22" s="6" t="s">
        <v>9</v>
      </c>
      <c r="I22" s="6" t="s">
        <v>10</v>
      </c>
      <c r="J22" s="6" t="s">
        <v>11</v>
      </c>
      <c r="K22" s="6" t="s">
        <v>25</v>
      </c>
      <c r="L22" s="6" t="s">
        <v>26</v>
      </c>
      <c r="M22" s="7" t="s">
        <v>12</v>
      </c>
      <c r="N22" s="38" t="s">
        <v>54</v>
      </c>
      <c r="O22" s="35"/>
      <c r="P22" s="25"/>
      <c r="Q22" s="25"/>
      <c r="R22" s="25"/>
      <c r="S22" s="25"/>
      <c r="T22" s="25"/>
      <c r="U22" s="25"/>
    </row>
    <row r="23" spans="3:21" ht="15.75" customHeight="1" thickTop="1" thickBot="1">
      <c r="C23" s="25"/>
      <c r="D23" s="25"/>
      <c r="F23" s="6" t="s">
        <v>13</v>
      </c>
      <c r="G23" s="8">
        <v>0</v>
      </c>
      <c r="H23" s="8">
        <v>0</v>
      </c>
      <c r="I23" s="8">
        <v>0.9999999999934488</v>
      </c>
      <c r="J23" s="8">
        <v>0</v>
      </c>
      <c r="K23" s="8">
        <v>0</v>
      </c>
      <c r="L23" s="8">
        <v>1.9999999999868976</v>
      </c>
      <c r="M23" s="7">
        <v>3</v>
      </c>
      <c r="N23" s="36">
        <f>SUM(G23:L23)</f>
        <v>2.9999999999803464</v>
      </c>
      <c r="O23" s="35"/>
      <c r="P23" s="25"/>
      <c r="Q23" s="25"/>
      <c r="R23" s="25"/>
      <c r="S23" s="25"/>
      <c r="T23" s="25"/>
      <c r="U23" s="25"/>
    </row>
    <row r="24" spans="3:21" ht="15.75" customHeight="1" thickTop="1" thickBot="1">
      <c r="C24" s="25"/>
      <c r="D24" s="25"/>
      <c r="E24" s="5" t="s">
        <v>14</v>
      </c>
      <c r="F24" s="6" t="s">
        <v>15</v>
      </c>
      <c r="G24" s="8">
        <v>2.9999999999803464</v>
      </c>
      <c r="H24" s="8">
        <v>0</v>
      </c>
      <c r="I24" s="8">
        <v>0</v>
      </c>
      <c r="J24" s="8">
        <v>0</v>
      </c>
      <c r="K24" s="8">
        <v>0.99999999999344902</v>
      </c>
      <c r="L24" s="8">
        <v>0</v>
      </c>
      <c r="M24" s="7">
        <v>4</v>
      </c>
      <c r="N24" s="36">
        <f t="shared" ref="N24:N26" si="0">SUM(G24:L24)</f>
        <v>3.9999999999737952</v>
      </c>
      <c r="O24" s="35"/>
      <c r="P24" s="25"/>
      <c r="Q24" s="25"/>
      <c r="R24" s="25"/>
      <c r="S24" s="25"/>
      <c r="T24" s="25"/>
      <c r="U24" s="25"/>
    </row>
    <row r="25" spans="3:21" ht="15.75" customHeight="1" thickTop="1" thickBot="1">
      <c r="C25" s="25"/>
      <c r="D25" s="25"/>
      <c r="F25" s="6" t="s">
        <v>16</v>
      </c>
      <c r="G25" s="8">
        <v>0</v>
      </c>
      <c r="H25" s="8">
        <v>0</v>
      </c>
      <c r="I25" s="8">
        <v>1.9999999999868976</v>
      </c>
      <c r="J25" s="8">
        <v>0</v>
      </c>
      <c r="K25" s="8">
        <v>0</v>
      </c>
      <c r="L25" s="8">
        <v>0</v>
      </c>
      <c r="M25" s="7">
        <v>2</v>
      </c>
      <c r="N25" s="36">
        <f t="shared" si="0"/>
        <v>1.9999999999868976</v>
      </c>
      <c r="O25" s="35"/>
      <c r="P25" s="25"/>
      <c r="Q25" s="25"/>
      <c r="R25" s="25"/>
      <c r="S25" s="25"/>
      <c r="T25" s="25"/>
      <c r="U25" s="25"/>
    </row>
    <row r="26" spans="3:21" ht="15.75" customHeight="1" thickTop="1" thickBot="1">
      <c r="C26" s="25"/>
      <c r="D26" s="25"/>
      <c r="F26" s="6" t="s">
        <v>22</v>
      </c>
      <c r="G26" s="8">
        <v>0</v>
      </c>
      <c r="H26" s="8">
        <v>2.9999999999803464</v>
      </c>
      <c r="I26" s="8">
        <v>3.0000000002468008</v>
      </c>
      <c r="J26" s="8">
        <v>1.9999999999868976</v>
      </c>
      <c r="K26" s="8">
        <v>1.1102230246251565E-11</v>
      </c>
      <c r="L26" s="8">
        <v>0</v>
      </c>
      <c r="M26" s="7">
        <v>8</v>
      </c>
      <c r="N26" s="36">
        <f t="shared" si="0"/>
        <v>8.0000000002251461</v>
      </c>
      <c r="O26" s="36"/>
      <c r="P26" s="25"/>
      <c r="Q26" s="25"/>
      <c r="R26" s="25"/>
      <c r="S26" s="25"/>
      <c r="T26" s="25"/>
      <c r="U26" s="25"/>
    </row>
    <row r="27" spans="3:21" ht="15.75" customHeight="1" thickTop="1" thickBot="1">
      <c r="C27" s="25"/>
      <c r="D27" s="25"/>
      <c r="F27" s="7" t="s">
        <v>17</v>
      </c>
      <c r="G27" s="7">
        <v>3</v>
      </c>
      <c r="H27" s="7">
        <v>3</v>
      </c>
      <c r="I27" s="7">
        <v>6</v>
      </c>
      <c r="J27" s="7">
        <v>2</v>
      </c>
      <c r="K27" s="7">
        <v>1</v>
      </c>
      <c r="L27" s="7">
        <v>2</v>
      </c>
      <c r="N27" s="32" t="s">
        <v>53</v>
      </c>
      <c r="O27" s="32">
        <f>SUMPRODUCT(G11:L14,G23:L26)</f>
        <v>103.00000000210079</v>
      </c>
      <c r="P27" s="25"/>
      <c r="Q27" s="25"/>
      <c r="R27" s="25"/>
      <c r="S27" s="25"/>
      <c r="T27" s="25"/>
      <c r="U27" s="25"/>
    </row>
    <row r="28" spans="3:21" ht="15.75" customHeight="1" thickTop="1">
      <c r="C28" s="25"/>
      <c r="D28" s="25"/>
      <c r="E28" s="25"/>
      <c r="F28" s="35"/>
      <c r="G28" s="35"/>
      <c r="H28" s="35"/>
      <c r="I28" s="35"/>
      <c r="J28" s="35"/>
      <c r="K28" s="35"/>
      <c r="L28" s="35"/>
      <c r="M28" s="25"/>
      <c r="N28" s="25"/>
      <c r="O28" s="25"/>
      <c r="P28" s="25"/>
      <c r="Q28" s="25"/>
      <c r="R28" s="25"/>
      <c r="S28" s="25"/>
      <c r="T28" s="25"/>
      <c r="U28" s="25"/>
    </row>
    <row r="29" spans="3:21" ht="15.75" customHeight="1">
      <c r="C29" s="25"/>
      <c r="D29" s="25"/>
      <c r="E29" s="25"/>
      <c r="F29" s="38" t="s">
        <v>60</v>
      </c>
      <c r="G29" s="36">
        <f>SUM(G23:G26)</f>
        <v>2.9999999999803464</v>
      </c>
      <c r="H29" s="36">
        <f t="shared" ref="H29:L29" si="1">SUM(H23:H26)</f>
        <v>2.9999999999803464</v>
      </c>
      <c r="I29" s="36">
        <f t="shared" si="1"/>
        <v>6.0000000002271472</v>
      </c>
      <c r="J29" s="36">
        <f t="shared" si="1"/>
        <v>1.9999999999868976</v>
      </c>
      <c r="K29" s="36">
        <f t="shared" si="1"/>
        <v>1.0000000000045512</v>
      </c>
      <c r="L29" s="36">
        <f t="shared" si="1"/>
        <v>1.9999999999868976</v>
      </c>
      <c r="M29" s="25"/>
      <c r="N29" s="25"/>
      <c r="O29" s="25"/>
      <c r="P29" s="25"/>
      <c r="Q29" s="25"/>
      <c r="R29" s="25"/>
      <c r="S29" s="25"/>
      <c r="T29" s="25"/>
      <c r="U29" s="25"/>
    </row>
    <row r="30" spans="3:21" ht="15.75" customHeight="1">
      <c r="C30" s="25"/>
      <c r="D30" s="25"/>
      <c r="E30" s="25"/>
      <c r="F30" s="36"/>
      <c r="G30" s="36"/>
      <c r="H30" s="36"/>
      <c r="I30" s="36"/>
      <c r="J30" s="36"/>
      <c r="K30" s="36"/>
      <c r="L30" s="36"/>
      <c r="M30" s="25"/>
      <c r="N30" s="25"/>
      <c r="O30" s="25"/>
      <c r="P30" s="25"/>
      <c r="Q30" s="25"/>
      <c r="R30" s="25"/>
      <c r="S30" s="25"/>
      <c r="T30" s="25"/>
      <c r="U30" s="25"/>
    </row>
    <row r="31" spans="3:21" ht="15.75" customHeight="1">
      <c r="C31" s="25"/>
      <c r="D31" s="25"/>
      <c r="E31" s="25"/>
      <c r="F31" s="36"/>
      <c r="G31" s="36"/>
      <c r="H31" s="36"/>
      <c r="I31" s="36"/>
      <c r="J31" s="36"/>
      <c r="K31" s="36"/>
      <c r="L31" s="36"/>
      <c r="M31" s="25"/>
      <c r="N31" s="25"/>
      <c r="O31" s="25"/>
      <c r="P31" s="25"/>
      <c r="Q31" s="25"/>
      <c r="R31" s="25"/>
      <c r="S31" s="25"/>
      <c r="T31" s="25"/>
      <c r="U31" s="25"/>
    </row>
    <row r="32" spans="3:21" ht="15.75" customHeight="1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3:21" ht="15.75" customHeight="1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3:21" ht="15.75" customHeight="1"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3:21" ht="15.75" customHeight="1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3:21" ht="15.75" customHeight="1"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3:21" ht="15.75" customHeight="1"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3:21" ht="15.75" customHeight="1"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3:21" ht="15.75" customHeight="1"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3:21" ht="15.75" customHeight="1"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3:21" ht="15.75" customHeight="1"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3:21" ht="15.75" customHeight="1"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3:21" ht="15.75" customHeight="1"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3:21" ht="15.75" customHeight="1"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3:21" ht="15.75" customHeight="1"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3:21" ht="15.75" customHeight="1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3:21" ht="15.75" customHeight="1"/>
    <row r="48" spans="3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000"/>
  <sheetViews>
    <sheetView topLeftCell="A4" zoomScale="88" workbookViewId="0">
      <selection activeCell="M25" sqref="M25"/>
    </sheetView>
  </sheetViews>
  <sheetFormatPr defaultColWidth="14.453125" defaultRowHeight="15" customHeight="1"/>
  <cols>
    <col min="1" max="1" width="37" customWidth="1"/>
    <col min="2" max="10" width="8.7265625" customWidth="1"/>
    <col min="11" max="11" width="10.453125" customWidth="1"/>
    <col min="12" max="26" width="8.7265625" customWidth="1"/>
  </cols>
  <sheetData>
    <row r="1" spans="1:21" ht="26">
      <c r="G1" s="1" t="s">
        <v>0</v>
      </c>
    </row>
    <row r="2" spans="1:21" ht="26">
      <c r="G2" s="1" t="s">
        <v>1</v>
      </c>
    </row>
    <row r="4" spans="1:21" ht="18.5">
      <c r="A4" s="2" t="s">
        <v>43</v>
      </c>
    </row>
    <row r="5" spans="1:21" ht="18.5">
      <c r="A5" s="2" t="s">
        <v>44</v>
      </c>
    </row>
    <row r="6" spans="1:21" ht="18.5">
      <c r="A6" s="2" t="s">
        <v>45</v>
      </c>
    </row>
    <row r="8" spans="1:21" ht="15.5">
      <c r="A8" s="3" t="s">
        <v>27</v>
      </c>
    </row>
    <row r="9" spans="1:21" ht="14.5">
      <c r="D9" s="4" t="s">
        <v>6</v>
      </c>
      <c r="H9" s="5" t="s">
        <v>7</v>
      </c>
    </row>
    <row r="10" spans="1:21" ht="14.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21" ht="14.5">
      <c r="F11" s="6" t="s">
        <v>13</v>
      </c>
      <c r="G11" s="8">
        <v>4</v>
      </c>
      <c r="H11" s="8">
        <v>3</v>
      </c>
      <c r="I11" s="8">
        <v>2</v>
      </c>
      <c r="J11" s="8">
        <v>0</v>
      </c>
      <c r="K11" s="7">
        <v>10</v>
      </c>
      <c r="L11" s="13"/>
    </row>
    <row r="12" spans="1:21" ht="14.5">
      <c r="E12" s="5" t="s">
        <v>14</v>
      </c>
      <c r="F12" s="6" t="s">
        <v>15</v>
      </c>
      <c r="G12" s="8">
        <v>1</v>
      </c>
      <c r="H12" s="8">
        <v>5</v>
      </c>
      <c r="I12" s="8">
        <v>0</v>
      </c>
      <c r="J12" s="8">
        <v>0</v>
      </c>
      <c r="K12" s="7">
        <v>13</v>
      </c>
      <c r="M12" s="24" t="s">
        <v>42</v>
      </c>
    </row>
    <row r="13" spans="1:21" ht="14.5">
      <c r="F13" s="6" t="s">
        <v>16</v>
      </c>
      <c r="G13" s="8">
        <v>3</v>
      </c>
      <c r="H13" s="8">
        <v>8</v>
      </c>
      <c r="I13" s="8">
        <v>6</v>
      </c>
      <c r="J13" s="8">
        <v>0</v>
      </c>
      <c r="K13" s="7">
        <v>12</v>
      </c>
      <c r="M13" s="24" t="s">
        <v>12</v>
      </c>
      <c r="N13" s="9">
        <f>SUM(K11:K13)</f>
        <v>35</v>
      </c>
    </row>
    <row r="14" spans="1:21" ht="14.5">
      <c r="F14" s="7" t="s">
        <v>17</v>
      </c>
      <c r="G14" s="7">
        <v>8</v>
      </c>
      <c r="H14" s="7">
        <v>5</v>
      </c>
      <c r="I14" s="7">
        <v>4</v>
      </c>
      <c r="J14" s="7">
        <v>18</v>
      </c>
      <c r="M14" s="24" t="s">
        <v>17</v>
      </c>
      <c r="N14" s="9">
        <f>SUM(G14:J14)</f>
        <v>35</v>
      </c>
    </row>
    <row r="16" spans="1:21" ht="15" customHeight="1"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spans="3:21" ht="14.5">
      <c r="C17" s="25"/>
      <c r="D17" s="27"/>
      <c r="E17" s="27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3:21" ht="15" customHeight="1"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3:21" ht="14.5">
      <c r="C19" s="25"/>
      <c r="D19" s="25"/>
      <c r="E19" s="25"/>
      <c r="F19" s="25"/>
      <c r="G19" s="25"/>
      <c r="H19" s="28"/>
      <c r="I19" s="25"/>
      <c r="J19" s="25"/>
      <c r="K19" s="36"/>
      <c r="L19" s="36"/>
      <c r="M19" s="36"/>
      <c r="N19" s="25"/>
      <c r="O19" s="25"/>
      <c r="P19" s="25"/>
      <c r="Q19" s="25"/>
      <c r="R19" s="25"/>
      <c r="S19" s="25"/>
      <c r="T19" s="25"/>
      <c r="U19" s="25"/>
    </row>
    <row r="20" spans="3:21" ht="14.5">
      <c r="C20" s="25"/>
      <c r="D20" s="25"/>
      <c r="E20" s="25"/>
      <c r="F20" s="29"/>
      <c r="G20" s="29"/>
      <c r="H20" s="29"/>
      <c r="I20" s="29"/>
      <c r="J20" s="29"/>
      <c r="K20" s="30"/>
      <c r="L20" s="36"/>
      <c r="M20" s="35"/>
      <c r="N20" s="25"/>
      <c r="O20" s="25"/>
      <c r="P20" s="25"/>
      <c r="Q20" s="25"/>
      <c r="R20" s="25"/>
      <c r="S20" s="25"/>
      <c r="T20" s="25"/>
      <c r="U20" s="25"/>
    </row>
    <row r="21" spans="3:21" ht="15.75" customHeight="1" thickBot="1">
      <c r="C21" s="25"/>
      <c r="D21" s="25"/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7" t="s">
        <v>12</v>
      </c>
      <c r="L21" s="48" t="s">
        <v>54</v>
      </c>
      <c r="M21" s="35"/>
      <c r="N21" s="25"/>
      <c r="O21" s="25"/>
      <c r="P21" s="25"/>
      <c r="Q21" s="25"/>
      <c r="R21" s="25"/>
      <c r="S21" s="25"/>
      <c r="T21" s="25"/>
      <c r="U21" s="25"/>
    </row>
    <row r="22" spans="3:21" ht="15.75" customHeight="1" thickTop="1" thickBot="1">
      <c r="C22" s="25"/>
      <c r="D22" s="25"/>
      <c r="F22" s="6" t="s">
        <v>13</v>
      </c>
      <c r="G22" s="8">
        <v>0</v>
      </c>
      <c r="H22" s="8">
        <v>5.0000000001892895</v>
      </c>
      <c r="I22" s="8">
        <v>0</v>
      </c>
      <c r="J22" s="8">
        <v>5.0000000000116529</v>
      </c>
      <c r="K22" s="7">
        <v>10</v>
      </c>
      <c r="L22" s="36">
        <f>SUM(G22:J22)</f>
        <v>10.000000000200941</v>
      </c>
      <c r="M22" s="35"/>
      <c r="N22" s="25"/>
      <c r="O22" s="25"/>
      <c r="P22" s="25"/>
      <c r="Q22" s="25"/>
      <c r="R22" s="25"/>
      <c r="S22" s="25"/>
      <c r="T22" s="25"/>
      <c r="U22" s="25"/>
    </row>
    <row r="23" spans="3:21" ht="15.75" customHeight="1" thickTop="1" thickBot="1">
      <c r="C23" s="25"/>
      <c r="D23" s="25"/>
      <c r="E23" s="5" t="s">
        <v>14</v>
      </c>
      <c r="F23" s="6" t="s">
        <v>15</v>
      </c>
      <c r="G23" s="8">
        <v>8.0000000003028653</v>
      </c>
      <c r="H23" s="8">
        <v>0</v>
      </c>
      <c r="I23" s="8">
        <v>3.9999999999737952</v>
      </c>
      <c r="J23" s="8">
        <v>1.0000000000023306</v>
      </c>
      <c r="K23" s="7">
        <v>13</v>
      </c>
      <c r="L23" s="36">
        <f t="shared" ref="L23:L24" si="0">SUM(G23:J23)</f>
        <v>13.000000000278991</v>
      </c>
      <c r="M23" s="35"/>
      <c r="N23" s="25"/>
      <c r="O23" s="25"/>
      <c r="P23" s="25"/>
      <c r="Q23" s="25"/>
      <c r="R23" s="25"/>
      <c r="S23" s="25"/>
      <c r="T23" s="25"/>
      <c r="U23" s="25"/>
    </row>
    <row r="24" spans="3:21" ht="15.75" customHeight="1" thickTop="1" thickBot="1">
      <c r="C24" s="25"/>
      <c r="D24" s="25"/>
      <c r="F24" s="6" t="s">
        <v>16</v>
      </c>
      <c r="G24" s="8">
        <v>0</v>
      </c>
      <c r="H24" s="8">
        <v>0</v>
      </c>
      <c r="I24" s="8">
        <v>0</v>
      </c>
      <c r="J24" s="8">
        <v>12.000000000027967</v>
      </c>
      <c r="K24" s="7">
        <v>12</v>
      </c>
      <c r="L24" s="36">
        <f t="shared" si="0"/>
        <v>12.000000000027967</v>
      </c>
      <c r="M24" s="25"/>
      <c r="N24" s="25"/>
      <c r="O24" s="25"/>
      <c r="P24" s="25"/>
      <c r="Q24" s="25"/>
      <c r="R24" s="25"/>
      <c r="S24" s="25"/>
      <c r="T24" s="25"/>
      <c r="U24" s="25"/>
    </row>
    <row r="25" spans="3:21" ht="15.75" customHeight="1" thickTop="1" thickBot="1">
      <c r="C25" s="25"/>
      <c r="D25" s="25"/>
      <c r="F25" s="7" t="s">
        <v>17</v>
      </c>
      <c r="G25" s="7">
        <v>8</v>
      </c>
      <c r="H25" s="7">
        <v>5</v>
      </c>
      <c r="I25" s="7">
        <v>4</v>
      </c>
      <c r="J25" s="7">
        <v>18</v>
      </c>
      <c r="L25" s="32" t="s">
        <v>59</v>
      </c>
      <c r="M25" s="32">
        <f>SUMPRODUCT(G11:J13,G22:J24)</f>
        <v>23.000000000870735</v>
      </c>
      <c r="N25" s="25"/>
      <c r="O25" s="25"/>
      <c r="P25" s="25"/>
      <c r="Q25" s="25"/>
      <c r="R25" s="25"/>
      <c r="S25" s="25"/>
      <c r="T25" s="25"/>
      <c r="U25" s="25"/>
    </row>
    <row r="26" spans="3:21" ht="15.75" customHeight="1" thickTop="1">
      <c r="C26" s="25"/>
      <c r="D26" s="25"/>
      <c r="E26" s="25"/>
      <c r="F26" s="35" t="s">
        <v>60</v>
      </c>
      <c r="G26" s="35">
        <f>SUM(G22:G24)</f>
        <v>8.0000000003028653</v>
      </c>
      <c r="H26" s="35">
        <f t="shared" ref="H26:J26" si="1">SUM(H22:H24)</f>
        <v>5.0000000001892895</v>
      </c>
      <c r="I26" s="35">
        <f t="shared" si="1"/>
        <v>3.9999999999737952</v>
      </c>
      <c r="J26" s="35">
        <f t="shared" si="1"/>
        <v>18.00000000004195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3:21" ht="15.75" customHeight="1">
      <c r="C27" s="25"/>
      <c r="D27" s="25"/>
      <c r="E27" s="25"/>
      <c r="F27" s="36"/>
      <c r="G27" s="36"/>
      <c r="H27" s="36"/>
      <c r="I27" s="36"/>
      <c r="J27" s="36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3:21" ht="15.75" customHeight="1"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3:21" ht="15.75" customHeight="1"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3:21" ht="15.75" customHeight="1"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3:21" ht="15.75" customHeight="1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3:21" ht="15.75" customHeight="1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3:21" ht="15.75" customHeight="1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3:21" ht="15.75" customHeight="1"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3:21" ht="15.75" customHeight="1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3:21" ht="15.75" customHeight="1"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3:21" ht="15.75" customHeight="1"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3:21" ht="15.75" customHeight="1"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3:21" ht="15.75" customHeight="1"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3:21" ht="15.75" customHeight="1"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3:21" ht="15.75" customHeight="1"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3:21" ht="15.75" customHeight="1"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3:21" ht="15.75" customHeight="1"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3:21" ht="15.75" customHeight="1"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3:21" ht="15.75" customHeight="1"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3:21" ht="15.75" customHeight="1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3:21" ht="15.75" customHeight="1"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3:21" ht="15.75" customHeight="1"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3:21" ht="15.75" customHeight="1"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3:21" ht="15.75" customHeight="1"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3:21" ht="15.75" customHeight="1"/>
    <row r="52" spans="3:21" ht="15.75" customHeight="1"/>
    <row r="53" spans="3:21" ht="15.75" customHeight="1"/>
    <row r="54" spans="3:21" ht="15.75" customHeight="1"/>
    <row r="55" spans="3:21" ht="15.75" customHeight="1"/>
    <row r="56" spans="3:21" ht="15.75" customHeight="1"/>
    <row r="57" spans="3:21" ht="15.75" customHeight="1"/>
    <row r="58" spans="3:21" ht="15.75" customHeight="1"/>
    <row r="59" spans="3:21" ht="15.75" customHeight="1"/>
    <row r="60" spans="3:21" ht="15.75" customHeight="1"/>
    <row r="61" spans="3:21" ht="15.75" customHeight="1"/>
    <row r="62" spans="3:21" ht="15.75" customHeight="1"/>
    <row r="63" spans="3:21" ht="15.75" customHeight="1"/>
    <row r="64" spans="3:2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000"/>
  <sheetViews>
    <sheetView topLeftCell="A16" workbookViewId="0">
      <selection activeCell="M25" sqref="M25"/>
    </sheetView>
  </sheetViews>
  <sheetFormatPr defaultColWidth="14.453125" defaultRowHeight="15" customHeight="1"/>
  <cols>
    <col min="1" max="1" width="36" customWidth="1"/>
    <col min="2" max="10" width="8.7265625" customWidth="1"/>
    <col min="11" max="11" width="11.26953125" customWidth="1"/>
    <col min="12" max="26" width="8.7265625" customWidth="1"/>
  </cols>
  <sheetData>
    <row r="1" spans="1:18" ht="26">
      <c r="G1" s="1" t="s">
        <v>0</v>
      </c>
    </row>
    <row r="2" spans="1:18" ht="26">
      <c r="G2" s="1" t="s">
        <v>1</v>
      </c>
    </row>
    <row r="4" spans="1:18" ht="18.5">
      <c r="A4" s="2" t="s">
        <v>43</v>
      </c>
    </row>
    <row r="5" spans="1:18" ht="18.5">
      <c r="A5" s="2" t="s">
        <v>44</v>
      </c>
    </row>
    <row r="6" spans="1:18" ht="18.5">
      <c r="A6" s="2" t="s">
        <v>45</v>
      </c>
    </row>
    <row r="8" spans="1:18" ht="15.5">
      <c r="A8" s="3" t="s">
        <v>28</v>
      </c>
    </row>
    <row r="9" spans="1:18" ht="14.5">
      <c r="D9" s="4" t="s">
        <v>6</v>
      </c>
      <c r="H9" s="5" t="s">
        <v>7</v>
      </c>
    </row>
    <row r="10" spans="1:18" ht="14.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8" ht="14.5">
      <c r="F11" s="6" t="s">
        <v>13</v>
      </c>
      <c r="G11" s="8">
        <v>4</v>
      </c>
      <c r="H11" s="8">
        <v>3</v>
      </c>
      <c r="I11" s="8">
        <v>0</v>
      </c>
      <c r="J11" s="8">
        <v>5</v>
      </c>
      <c r="K11" s="7">
        <v>24</v>
      </c>
      <c r="L11" s="13"/>
    </row>
    <row r="12" spans="1:18" ht="14.5">
      <c r="E12" s="5" t="s">
        <v>14</v>
      </c>
      <c r="F12" s="6" t="s">
        <v>15</v>
      </c>
      <c r="G12" s="8">
        <v>1</v>
      </c>
      <c r="H12" s="8">
        <v>2</v>
      </c>
      <c r="I12" s="8">
        <v>6</v>
      </c>
      <c r="J12" s="8">
        <v>1</v>
      </c>
      <c r="K12" s="7">
        <v>17</v>
      </c>
      <c r="M12" s="24" t="s">
        <v>42</v>
      </c>
    </row>
    <row r="13" spans="1:18" ht="14.5">
      <c r="F13" s="6" t="s">
        <v>16</v>
      </c>
      <c r="G13" s="8">
        <v>3</v>
      </c>
      <c r="H13" s="8">
        <v>6</v>
      </c>
      <c r="I13" s="8">
        <v>2</v>
      </c>
      <c r="J13" s="8">
        <v>3</v>
      </c>
      <c r="K13" s="7">
        <v>19</v>
      </c>
      <c r="M13" s="24" t="s">
        <v>12</v>
      </c>
      <c r="N13" s="9">
        <f>SUM(K11:K13)</f>
        <v>60</v>
      </c>
    </row>
    <row r="14" spans="1:18" ht="14.5">
      <c r="F14" s="7" t="s">
        <v>17</v>
      </c>
      <c r="G14" s="7">
        <v>15</v>
      </c>
      <c r="H14" s="7">
        <v>19</v>
      </c>
      <c r="I14" s="7">
        <v>18</v>
      </c>
      <c r="J14" s="7">
        <v>8</v>
      </c>
      <c r="M14" s="24" t="s">
        <v>17</v>
      </c>
      <c r="N14" s="9">
        <f>SUM(G14:J14)</f>
        <v>60</v>
      </c>
    </row>
    <row r="15" spans="1:18" ht="15" customHeight="1"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15" customHeight="1"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3:18" ht="14.5">
      <c r="C17" s="25"/>
      <c r="D17" s="27"/>
      <c r="E17" s="27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3:18" ht="15" customHeight="1"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3:18" ht="14.5">
      <c r="C19" s="25"/>
      <c r="D19" s="25"/>
      <c r="E19" s="25"/>
      <c r="F19" s="25"/>
      <c r="G19" s="25"/>
      <c r="H19" s="28"/>
      <c r="I19" s="25"/>
      <c r="J19" s="25"/>
      <c r="K19" s="36"/>
      <c r="L19" s="36"/>
      <c r="M19" s="36"/>
      <c r="N19" s="25"/>
      <c r="O19" s="25"/>
      <c r="P19" s="25"/>
      <c r="Q19" s="25"/>
      <c r="R19" s="25"/>
    </row>
    <row r="20" spans="3:18" ht="14.5">
      <c r="C20" s="25"/>
      <c r="D20" s="25"/>
      <c r="E20" s="25"/>
      <c r="F20" s="29"/>
      <c r="G20" s="29"/>
      <c r="H20" s="29"/>
      <c r="I20" s="29"/>
      <c r="J20" s="29"/>
      <c r="K20" s="30"/>
      <c r="L20" s="36"/>
      <c r="M20" s="35"/>
      <c r="N20" s="25"/>
      <c r="O20" s="25"/>
      <c r="P20" s="25"/>
      <c r="Q20" s="25"/>
      <c r="R20" s="25"/>
    </row>
    <row r="21" spans="3:18" ht="15.75" customHeight="1" thickBot="1">
      <c r="C21" s="25"/>
      <c r="D21" s="25"/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7" t="s">
        <v>12</v>
      </c>
      <c r="L21" s="48" t="s">
        <v>61</v>
      </c>
      <c r="M21" s="35"/>
      <c r="N21" s="25"/>
      <c r="O21" s="25"/>
      <c r="P21" s="25"/>
      <c r="Q21" s="25"/>
      <c r="R21" s="25"/>
    </row>
    <row r="22" spans="3:18" ht="15.75" customHeight="1" thickTop="1" thickBot="1">
      <c r="C22" s="25"/>
      <c r="D22" s="25"/>
      <c r="F22" s="6" t="s">
        <v>13</v>
      </c>
      <c r="G22" s="8">
        <v>0</v>
      </c>
      <c r="H22" s="8">
        <v>6.0000000000139835</v>
      </c>
      <c r="I22" s="8">
        <v>18.00000000004195</v>
      </c>
      <c r="J22" s="8">
        <v>0</v>
      </c>
      <c r="K22" s="7">
        <v>24</v>
      </c>
      <c r="L22" s="36">
        <f>SUM(G22:J22)</f>
        <v>24.000000000055934</v>
      </c>
      <c r="M22" s="35"/>
      <c r="N22" s="25"/>
      <c r="O22" s="25"/>
      <c r="P22" s="25"/>
      <c r="Q22" s="25"/>
      <c r="R22" s="25"/>
    </row>
    <row r="23" spans="3:18" ht="15.75" customHeight="1" thickTop="1" thickBot="1">
      <c r="C23" s="25"/>
      <c r="D23" s="25"/>
      <c r="E23" s="5" t="s">
        <v>14</v>
      </c>
      <c r="F23" s="6" t="s">
        <v>15</v>
      </c>
      <c r="G23" s="8">
        <v>4.0000000000093223</v>
      </c>
      <c r="H23" s="8">
        <v>13.000000000030298</v>
      </c>
      <c r="I23" s="8">
        <v>0</v>
      </c>
      <c r="J23" s="8">
        <v>0</v>
      </c>
      <c r="K23" s="7">
        <v>17</v>
      </c>
      <c r="L23" s="36">
        <f t="shared" ref="L23:L24" si="0">SUM(G23:J23)</f>
        <v>17.00000000003962</v>
      </c>
      <c r="M23" s="35"/>
      <c r="N23" s="25"/>
      <c r="O23" s="25"/>
      <c r="P23" s="25"/>
      <c r="Q23" s="25"/>
      <c r="R23" s="25"/>
    </row>
    <row r="24" spans="3:18" ht="15.75" customHeight="1" thickTop="1" thickBot="1">
      <c r="C24" s="25"/>
      <c r="D24" s="25"/>
      <c r="F24" s="6" t="s">
        <v>16</v>
      </c>
      <c r="G24" s="8">
        <v>11.000000000025636</v>
      </c>
      <c r="H24" s="8">
        <v>0</v>
      </c>
      <c r="I24" s="8">
        <v>0</v>
      </c>
      <c r="J24" s="8">
        <v>8.0000000003028617</v>
      </c>
      <c r="K24" s="7">
        <v>19</v>
      </c>
      <c r="L24" s="36">
        <f t="shared" si="0"/>
        <v>19.000000000328498</v>
      </c>
      <c r="M24" s="25"/>
      <c r="N24" s="25"/>
      <c r="O24" s="25"/>
      <c r="P24" s="25"/>
      <c r="Q24" s="25"/>
      <c r="R24" s="25"/>
    </row>
    <row r="25" spans="3:18" ht="15.75" customHeight="1" thickTop="1" thickBot="1">
      <c r="C25" s="25"/>
      <c r="D25" s="25"/>
      <c r="F25" s="7" t="s">
        <v>17</v>
      </c>
      <c r="G25" s="7">
        <v>15</v>
      </c>
      <c r="H25" s="7">
        <v>19</v>
      </c>
      <c r="I25" s="7">
        <v>18</v>
      </c>
      <c r="J25" s="7">
        <v>8</v>
      </c>
      <c r="L25" s="32" t="s">
        <v>53</v>
      </c>
      <c r="M25" s="32">
        <f>SUMPRODUCT(G11:J13,G22:J24)</f>
        <v>105.00000000109736</v>
      </c>
      <c r="N25" s="25"/>
      <c r="O25" s="25"/>
      <c r="P25" s="25"/>
      <c r="Q25" s="25"/>
      <c r="R25" s="25"/>
    </row>
    <row r="26" spans="3:18" ht="15.75" customHeight="1" thickTop="1">
      <c r="C26" s="25"/>
      <c r="D26" s="25"/>
      <c r="E26" s="25"/>
      <c r="F26" s="35" t="s">
        <v>60</v>
      </c>
      <c r="G26" s="35">
        <f>SUM(G22:G24)</f>
        <v>15.000000000034959</v>
      </c>
      <c r="H26" s="35">
        <f t="shared" ref="H26:J26" si="1">SUM(H22:H24)</f>
        <v>19.000000000044281</v>
      </c>
      <c r="I26" s="35">
        <f t="shared" si="1"/>
        <v>18.00000000004195</v>
      </c>
      <c r="J26" s="35">
        <f t="shared" si="1"/>
        <v>8.0000000003028617</v>
      </c>
      <c r="K26" s="25"/>
      <c r="L26" s="25"/>
      <c r="M26" s="25"/>
      <c r="N26" s="25"/>
      <c r="O26" s="25"/>
      <c r="P26" s="25"/>
      <c r="Q26" s="25"/>
      <c r="R26" s="25"/>
    </row>
    <row r="27" spans="3:18" ht="15.75" customHeight="1">
      <c r="C27" s="25"/>
      <c r="D27" s="25"/>
      <c r="E27" s="25"/>
      <c r="F27" s="36"/>
      <c r="G27" s="36"/>
      <c r="H27" s="36"/>
      <c r="I27" s="36"/>
      <c r="J27" s="36"/>
      <c r="K27" s="25"/>
      <c r="L27" s="25"/>
      <c r="M27" s="25"/>
      <c r="N27" s="25"/>
      <c r="O27" s="25"/>
      <c r="P27" s="25"/>
      <c r="Q27" s="25"/>
      <c r="R27" s="25"/>
    </row>
    <row r="28" spans="3:18" ht="15.75" customHeight="1">
      <c r="C28" s="25"/>
      <c r="D28" s="25"/>
      <c r="E28" s="25"/>
      <c r="F28" s="36"/>
      <c r="G28" s="36"/>
      <c r="H28" s="36"/>
      <c r="I28" s="36"/>
      <c r="J28" s="36"/>
      <c r="K28" s="25"/>
      <c r="L28" s="25"/>
      <c r="M28" s="25"/>
      <c r="N28" s="25"/>
      <c r="O28" s="25"/>
      <c r="P28" s="25"/>
      <c r="Q28" s="25"/>
      <c r="R28" s="25"/>
    </row>
    <row r="29" spans="3:18" ht="15.75" customHeight="1">
      <c r="C29" s="25"/>
      <c r="D29" s="25"/>
      <c r="E29" s="25"/>
      <c r="F29" s="36"/>
      <c r="G29" s="36"/>
      <c r="H29" s="36"/>
      <c r="I29" s="36"/>
      <c r="J29" s="36"/>
      <c r="K29" s="25"/>
      <c r="L29" s="25"/>
      <c r="M29" s="25"/>
      <c r="N29" s="25"/>
      <c r="O29" s="25"/>
      <c r="P29" s="25"/>
      <c r="Q29" s="25"/>
      <c r="R29" s="25"/>
    </row>
    <row r="30" spans="3:18" ht="15.75" customHeight="1">
      <c r="C30" s="25"/>
      <c r="D30" s="25"/>
      <c r="E30" s="25"/>
      <c r="F30" s="36"/>
      <c r="G30" s="36"/>
      <c r="H30" s="36"/>
      <c r="I30" s="36"/>
      <c r="J30" s="36"/>
      <c r="K30" s="25"/>
      <c r="L30" s="25"/>
      <c r="M30" s="25"/>
      <c r="N30" s="25"/>
      <c r="O30" s="25"/>
      <c r="P30" s="25"/>
      <c r="Q30" s="25"/>
      <c r="R30" s="25"/>
    </row>
    <row r="31" spans="3:18" ht="15.75" customHeight="1">
      <c r="F31" s="24"/>
      <c r="G31" s="24"/>
      <c r="H31" s="24"/>
      <c r="I31" s="24"/>
      <c r="J31" s="24"/>
    </row>
    <row r="32" spans="3:18" ht="15.75" customHeight="1">
      <c r="F32" s="24"/>
      <c r="G32" s="24"/>
      <c r="H32" s="24"/>
      <c r="I32" s="24"/>
      <c r="J32" s="2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00"/>
  <sheetViews>
    <sheetView zoomScale="74" workbookViewId="0">
      <selection activeCell="L29" sqref="L29"/>
    </sheetView>
  </sheetViews>
  <sheetFormatPr defaultColWidth="14.453125" defaultRowHeight="15" customHeight="1"/>
  <cols>
    <col min="1" max="1" width="36.453125" customWidth="1"/>
    <col min="2" max="9" width="8.7265625" customWidth="1"/>
    <col min="10" max="10" width="11.54296875" customWidth="1"/>
    <col min="11" max="26" width="8.7265625" customWidth="1"/>
  </cols>
  <sheetData>
    <row r="1" spans="1:13" ht="26">
      <c r="G1" s="1" t="s">
        <v>0</v>
      </c>
    </row>
    <row r="2" spans="1:13" ht="26">
      <c r="G2" s="1" t="s">
        <v>1</v>
      </c>
    </row>
    <row r="4" spans="1:13" ht="18.5">
      <c r="A4" s="2" t="s">
        <v>43</v>
      </c>
    </row>
    <row r="5" spans="1:13" ht="18.5">
      <c r="A5" s="2" t="s">
        <v>44</v>
      </c>
    </row>
    <row r="6" spans="1:13" ht="18.5">
      <c r="A6" s="2" t="s">
        <v>45</v>
      </c>
    </row>
    <row r="8" spans="1:13" ht="15.5">
      <c r="A8" s="3" t="s">
        <v>29</v>
      </c>
    </row>
    <row r="9" spans="1:13" ht="14.5">
      <c r="D9" s="4" t="s">
        <v>6</v>
      </c>
      <c r="H9" s="5" t="s">
        <v>7</v>
      </c>
    </row>
    <row r="10" spans="1:13" ht="14.5">
      <c r="F10" s="6"/>
      <c r="G10" s="6" t="s">
        <v>8</v>
      </c>
      <c r="H10" s="6" t="s">
        <v>9</v>
      </c>
      <c r="I10" s="6" t="s">
        <v>10</v>
      </c>
      <c r="J10" s="7" t="s">
        <v>12</v>
      </c>
    </row>
    <row r="11" spans="1:13" ht="14.5">
      <c r="F11" s="6" t="s">
        <v>13</v>
      </c>
      <c r="G11" s="8">
        <v>2</v>
      </c>
      <c r="H11" s="8">
        <v>4</v>
      </c>
      <c r="I11" s="8">
        <v>1</v>
      </c>
      <c r="J11" s="7">
        <v>40</v>
      </c>
      <c r="K11" s="13"/>
    </row>
    <row r="12" spans="1:13" ht="14.5">
      <c r="E12" s="5" t="s">
        <v>14</v>
      </c>
      <c r="F12" s="6" t="s">
        <v>15</v>
      </c>
      <c r="G12" s="8">
        <v>6</v>
      </c>
      <c r="H12" s="8">
        <v>3</v>
      </c>
      <c r="I12" s="8">
        <v>2</v>
      </c>
      <c r="J12" s="7">
        <v>50</v>
      </c>
    </row>
    <row r="13" spans="1:13" ht="14.5">
      <c r="F13" s="6" t="s">
        <v>16</v>
      </c>
      <c r="G13" s="8">
        <v>4</v>
      </c>
      <c r="H13" s="8">
        <v>5</v>
      </c>
      <c r="I13" s="8">
        <v>6</v>
      </c>
      <c r="J13" s="7">
        <v>20</v>
      </c>
      <c r="L13" s="24" t="s">
        <v>42</v>
      </c>
    </row>
    <row r="14" spans="1:13" ht="14.5">
      <c r="F14" s="6" t="s">
        <v>22</v>
      </c>
      <c r="G14" s="8">
        <v>3</v>
      </c>
      <c r="H14" s="8">
        <v>2</v>
      </c>
      <c r="I14" s="8">
        <v>1</v>
      </c>
      <c r="J14" s="7">
        <v>30</v>
      </c>
      <c r="L14" s="24" t="s">
        <v>12</v>
      </c>
      <c r="M14" s="9">
        <f>SUM(J11:J15)</f>
        <v>150</v>
      </c>
    </row>
    <row r="15" spans="1:13" ht="14.5">
      <c r="F15" s="6" t="s">
        <v>30</v>
      </c>
      <c r="G15" s="8">
        <v>5</v>
      </c>
      <c r="H15" s="8">
        <v>2</v>
      </c>
      <c r="I15" s="8">
        <v>5</v>
      </c>
      <c r="J15" s="7">
        <v>10</v>
      </c>
      <c r="L15" s="24" t="s">
        <v>17</v>
      </c>
      <c r="M15" s="9">
        <f>SUM(G16:I16)</f>
        <v>150</v>
      </c>
    </row>
    <row r="16" spans="1:13" ht="14.5">
      <c r="F16" s="7" t="s">
        <v>17</v>
      </c>
      <c r="G16" s="7">
        <v>50</v>
      </c>
      <c r="H16" s="7">
        <v>60</v>
      </c>
      <c r="I16" s="7">
        <v>40</v>
      </c>
    </row>
    <row r="18" spans="4:15" ht="15" customHeight="1"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4:15" ht="14.5">
      <c r="D19" s="27"/>
      <c r="E19" s="27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4:15" ht="15" customHeight="1">
      <c r="D20" s="25"/>
      <c r="E20" s="25"/>
      <c r="F20" s="25"/>
      <c r="G20" s="25"/>
      <c r="H20" s="25"/>
      <c r="I20" s="25"/>
      <c r="J20" s="36"/>
      <c r="K20" s="36"/>
      <c r="L20" s="36"/>
      <c r="M20" s="25"/>
      <c r="N20" s="25"/>
      <c r="O20" s="25"/>
    </row>
    <row r="21" spans="4:15" ht="15.75" customHeight="1">
      <c r="D21" s="25"/>
      <c r="E21" s="25"/>
      <c r="F21" s="25"/>
      <c r="G21" s="25"/>
      <c r="H21" s="28"/>
      <c r="I21" s="25"/>
      <c r="J21" s="36"/>
      <c r="K21" s="36"/>
      <c r="L21" s="36"/>
      <c r="M21" s="25"/>
      <c r="N21" s="25"/>
      <c r="O21" s="25"/>
    </row>
    <row r="22" spans="4:15" ht="15.75" customHeight="1">
      <c r="D22" s="25"/>
      <c r="E22" s="25"/>
      <c r="F22" s="29"/>
      <c r="G22" s="29"/>
      <c r="H22" s="29"/>
      <c r="I22" s="29"/>
      <c r="J22" s="30"/>
      <c r="K22" s="36"/>
      <c r="L22" s="35"/>
      <c r="M22" s="25"/>
      <c r="N22" s="25"/>
      <c r="O22" s="25"/>
    </row>
    <row r="23" spans="4:15" ht="15.75" customHeight="1" thickBot="1">
      <c r="D23" s="25"/>
      <c r="F23" s="6"/>
      <c r="G23" s="6" t="s">
        <v>8</v>
      </c>
      <c r="H23" s="6" t="s">
        <v>9</v>
      </c>
      <c r="I23" s="6" t="s">
        <v>10</v>
      </c>
      <c r="J23" s="7" t="s">
        <v>12</v>
      </c>
      <c r="K23" s="48" t="s">
        <v>61</v>
      </c>
      <c r="L23" s="35"/>
      <c r="M23" s="25"/>
      <c r="N23" s="25"/>
      <c r="O23" s="25"/>
    </row>
    <row r="24" spans="4:15" ht="15.75" customHeight="1" thickTop="1" thickBot="1">
      <c r="D24" s="25"/>
      <c r="F24" s="6" t="s">
        <v>13</v>
      </c>
      <c r="G24" s="8">
        <v>30.000000000425189</v>
      </c>
      <c r="H24" s="8">
        <v>0</v>
      </c>
      <c r="I24" s="8">
        <v>9.999999998246949</v>
      </c>
      <c r="J24" s="7">
        <v>40</v>
      </c>
      <c r="K24" s="36">
        <f>SUM(G24:I24)</f>
        <v>39.999999998672138</v>
      </c>
      <c r="L24" s="35"/>
      <c r="M24" s="25"/>
      <c r="N24" s="25"/>
      <c r="O24" s="25"/>
    </row>
    <row r="25" spans="4:15" ht="15.75" customHeight="1" thickTop="1" thickBot="1">
      <c r="D25" s="25"/>
      <c r="E25" s="5" t="s">
        <v>14</v>
      </c>
      <c r="F25" s="6" t="s">
        <v>15</v>
      </c>
      <c r="G25" s="8">
        <v>0</v>
      </c>
      <c r="H25" s="8">
        <v>49.999999997984901</v>
      </c>
      <c r="I25" s="8">
        <v>3.5527136788005009E-10</v>
      </c>
      <c r="J25" s="7">
        <v>50</v>
      </c>
      <c r="K25" s="36">
        <f t="shared" ref="K25:K28" si="0">SUM(G25:I25)</f>
        <v>49.999999998340172</v>
      </c>
      <c r="L25" s="35"/>
      <c r="M25" s="25"/>
      <c r="N25" s="25"/>
      <c r="O25" s="25"/>
    </row>
    <row r="26" spans="4:15" ht="15.75" customHeight="1" thickTop="1" thickBot="1">
      <c r="D26" s="25"/>
      <c r="F26" s="6" t="s">
        <v>16</v>
      </c>
      <c r="G26" s="8">
        <v>19.999999997914983</v>
      </c>
      <c r="H26" s="8">
        <v>0</v>
      </c>
      <c r="I26" s="8">
        <v>0</v>
      </c>
      <c r="J26" s="7">
        <v>20</v>
      </c>
      <c r="K26" s="36">
        <f t="shared" si="0"/>
        <v>19.999999997914983</v>
      </c>
      <c r="L26" s="35"/>
      <c r="M26" s="25"/>
      <c r="N26" s="25"/>
      <c r="O26" s="25"/>
    </row>
    <row r="27" spans="4:15" ht="15.75" customHeight="1" thickTop="1" thickBot="1">
      <c r="D27" s="25"/>
      <c r="F27" s="6" t="s">
        <v>22</v>
      </c>
      <c r="G27" s="8">
        <v>0</v>
      </c>
      <c r="H27" s="8">
        <v>0</v>
      </c>
      <c r="I27" s="8">
        <v>30.000000000069917</v>
      </c>
      <c r="J27" s="7">
        <v>30</v>
      </c>
      <c r="K27" s="36">
        <f t="shared" si="0"/>
        <v>30.000000000069917</v>
      </c>
      <c r="L27" s="35"/>
      <c r="M27" s="25"/>
      <c r="N27" s="25"/>
      <c r="O27" s="25"/>
    </row>
    <row r="28" spans="4:15" ht="15.75" customHeight="1" thickTop="1" thickBot="1">
      <c r="D28" s="25"/>
      <c r="F28" s="6" t="s">
        <v>30</v>
      </c>
      <c r="G28" s="8">
        <v>0</v>
      </c>
      <c r="H28" s="8">
        <v>10.000000000023306</v>
      </c>
      <c r="I28" s="8">
        <v>0</v>
      </c>
      <c r="J28" s="7">
        <v>10</v>
      </c>
      <c r="K28" s="36">
        <f t="shared" si="0"/>
        <v>10.000000000023306</v>
      </c>
      <c r="L28" s="25"/>
      <c r="M28" s="25"/>
      <c r="N28" s="25"/>
      <c r="O28" s="25"/>
    </row>
    <row r="29" spans="4:15" ht="15.75" customHeight="1" thickTop="1" thickBot="1">
      <c r="D29" s="25"/>
      <c r="F29" s="7" t="s">
        <v>17</v>
      </c>
      <c r="G29" s="7">
        <v>50</v>
      </c>
      <c r="H29" s="7">
        <v>60</v>
      </c>
      <c r="I29" s="7">
        <v>40</v>
      </c>
      <c r="K29" s="32" t="s">
        <v>53</v>
      </c>
      <c r="L29" s="32">
        <f>SUMPRODUCT(G11:I15,G24:I28)</f>
        <v>349.99999998553903</v>
      </c>
      <c r="M29" s="25"/>
      <c r="N29" s="25"/>
      <c r="O29" s="25"/>
    </row>
    <row r="30" spans="4:15" ht="15.75" customHeight="1" thickTop="1">
      <c r="D30" s="25"/>
      <c r="E30" s="25"/>
      <c r="F30" s="35" t="s">
        <v>60</v>
      </c>
      <c r="G30" s="35">
        <f>SUM(G24:G28)</f>
        <v>49.999999998340172</v>
      </c>
      <c r="H30" s="35">
        <f t="shared" ref="H30:I30" si="1">SUM(H24:H28)</f>
        <v>59.999999998008207</v>
      </c>
      <c r="I30" s="35">
        <f t="shared" si="1"/>
        <v>39.999999998672138</v>
      </c>
      <c r="J30" s="25"/>
      <c r="K30" s="25"/>
      <c r="L30" s="25"/>
      <c r="M30" s="25"/>
      <c r="N30" s="25"/>
      <c r="O30" s="25"/>
    </row>
    <row r="31" spans="4:15" ht="15.75" customHeight="1">
      <c r="D31" s="25"/>
      <c r="E31" s="25"/>
      <c r="F31" s="36"/>
      <c r="G31" s="36"/>
      <c r="H31" s="36"/>
      <c r="I31" s="36"/>
      <c r="J31" s="25"/>
      <c r="K31" s="25"/>
      <c r="L31" s="25"/>
      <c r="M31" s="25"/>
      <c r="N31" s="25"/>
      <c r="O31" s="25"/>
    </row>
    <row r="32" spans="4:15" ht="15.75" customHeight="1">
      <c r="D32" s="25"/>
      <c r="E32" s="25"/>
      <c r="F32" s="36"/>
      <c r="G32" s="36"/>
      <c r="H32" s="36"/>
      <c r="I32" s="36"/>
      <c r="J32" s="25"/>
      <c r="K32" s="25"/>
      <c r="L32" s="25"/>
      <c r="M32" s="25"/>
      <c r="N32" s="25"/>
      <c r="O32" s="25"/>
    </row>
    <row r="33" spans="4:15" ht="15.75" customHeight="1"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4:15" ht="15.75" customHeight="1"/>
    <row r="35" spans="4:15" ht="15.75" customHeight="1"/>
    <row r="36" spans="4:15" ht="15.75" customHeight="1"/>
    <row r="37" spans="4:15" ht="15.75" customHeight="1"/>
    <row r="38" spans="4:15" ht="15.75" customHeight="1"/>
    <row r="39" spans="4:15" ht="15.75" customHeight="1"/>
    <row r="40" spans="4:15" ht="15.75" customHeight="1"/>
    <row r="41" spans="4:15" ht="15.75" customHeight="1"/>
    <row r="42" spans="4:15" ht="15.75" customHeight="1"/>
    <row r="43" spans="4:15" ht="15.75" customHeight="1"/>
    <row r="44" spans="4:15" ht="15.75" customHeight="1"/>
    <row r="45" spans="4:15" ht="15.75" customHeight="1"/>
    <row r="46" spans="4:15" ht="15.75" customHeight="1"/>
    <row r="47" spans="4:15" ht="15.75" customHeight="1"/>
    <row r="48" spans="4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000"/>
  <sheetViews>
    <sheetView topLeftCell="A10" workbookViewId="0">
      <selection activeCell="L28" sqref="L28"/>
    </sheetView>
  </sheetViews>
  <sheetFormatPr defaultColWidth="14.453125" defaultRowHeight="15" customHeight="1"/>
  <cols>
    <col min="1" max="1" width="37.1796875" customWidth="1"/>
    <col min="2" max="25" width="8.7265625" customWidth="1"/>
  </cols>
  <sheetData>
    <row r="1" spans="1:14" ht="26">
      <c r="G1" s="1" t="s">
        <v>0</v>
      </c>
    </row>
    <row r="2" spans="1:14" ht="26">
      <c r="G2" s="1" t="s">
        <v>31</v>
      </c>
    </row>
    <row r="4" spans="1:14" ht="18.5">
      <c r="A4" s="2" t="s">
        <v>43</v>
      </c>
    </row>
    <row r="5" spans="1:14" ht="18.5">
      <c r="A5" s="2" t="s">
        <v>44</v>
      </c>
    </row>
    <row r="6" spans="1:14" ht="18.5">
      <c r="A6" s="2" t="s">
        <v>45</v>
      </c>
    </row>
    <row r="8" spans="1:14" ht="15.5">
      <c r="A8" s="3" t="s">
        <v>32</v>
      </c>
    </row>
    <row r="9" spans="1:14" ht="14.5">
      <c r="D9" s="4" t="s">
        <v>6</v>
      </c>
      <c r="H9" s="5" t="s">
        <v>37</v>
      </c>
    </row>
    <row r="10" spans="1:14" thickTop="1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25</v>
      </c>
      <c r="L10" s="13"/>
    </row>
    <row r="11" spans="1:14" ht="14.5">
      <c r="F11" s="6" t="s">
        <v>13</v>
      </c>
      <c r="G11" s="8">
        <v>430</v>
      </c>
      <c r="H11" s="8">
        <v>440</v>
      </c>
      <c r="I11" s="8">
        <v>465</v>
      </c>
      <c r="J11" s="8">
        <v>480</v>
      </c>
      <c r="K11" s="8">
        <v>490</v>
      </c>
      <c r="L11" s="13"/>
      <c r="M11" s="13"/>
    </row>
    <row r="12" spans="1:14" ht="14.5">
      <c r="E12" s="5" t="s">
        <v>40</v>
      </c>
      <c r="F12" s="6" t="s">
        <v>15</v>
      </c>
      <c r="G12" s="8">
        <v>320</v>
      </c>
      <c r="H12" s="8">
        <v>340</v>
      </c>
      <c r="I12" s="8">
        <v>350</v>
      </c>
      <c r="J12" s="8">
        <v>375</v>
      </c>
      <c r="K12" s="8">
        <v>380</v>
      </c>
      <c r="L12" s="13"/>
    </row>
    <row r="13" spans="1:14" ht="14.5">
      <c r="F13" s="6" t="s">
        <v>16</v>
      </c>
      <c r="G13" s="8">
        <v>295</v>
      </c>
      <c r="H13" s="8">
        <v>300</v>
      </c>
      <c r="I13" s="8">
        <v>330</v>
      </c>
      <c r="J13" s="8">
        <v>320</v>
      </c>
      <c r="K13" s="8">
        <v>320</v>
      </c>
      <c r="L13" s="13"/>
    </row>
    <row r="14" spans="1:14" ht="14.5">
      <c r="F14" s="6" t="s">
        <v>22</v>
      </c>
      <c r="G14" s="8">
        <v>270</v>
      </c>
      <c r="H14" s="8">
        <v>290</v>
      </c>
      <c r="I14" s="8">
        <v>310</v>
      </c>
      <c r="J14" s="8">
        <v>275</v>
      </c>
      <c r="K14" s="8">
        <v>280</v>
      </c>
      <c r="L14" s="13"/>
    </row>
    <row r="15" spans="1:14" ht="14.5">
      <c r="F15" s="6" t="s">
        <v>30</v>
      </c>
      <c r="G15" s="8">
        <v>245</v>
      </c>
      <c r="H15" s="8">
        <v>240</v>
      </c>
      <c r="I15" s="8">
        <v>265</v>
      </c>
      <c r="J15" s="8">
        <v>280</v>
      </c>
      <c r="K15" s="8">
        <v>250</v>
      </c>
      <c r="L15" s="13"/>
    </row>
    <row r="16" spans="1:14" ht="14.5">
      <c r="N16" s="9"/>
    </row>
    <row r="17" spans="3:17" ht="14.5">
      <c r="N17" s="9"/>
    </row>
    <row r="18" spans="3:17" ht="14.5">
      <c r="C18" s="25"/>
      <c r="D18" s="27"/>
      <c r="E18" s="27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</row>
    <row r="19" spans="3:17" ht="15" customHeight="1"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</row>
    <row r="20" spans="3:17" ht="15.75" customHeight="1">
      <c r="C20" s="25"/>
      <c r="D20" s="25"/>
      <c r="E20" s="25"/>
      <c r="F20" s="25"/>
      <c r="G20" s="25"/>
      <c r="H20" s="28"/>
      <c r="I20" s="25"/>
      <c r="J20" s="25"/>
      <c r="K20" s="25"/>
      <c r="L20" s="25"/>
      <c r="M20" s="25"/>
      <c r="N20" s="25"/>
      <c r="O20" s="25"/>
      <c r="P20" s="25"/>
      <c r="Q20" s="25"/>
    </row>
    <row r="21" spans="3:17" ht="15.75" customHeight="1">
      <c r="C21" s="25"/>
      <c r="D21" s="25"/>
      <c r="E21" s="25"/>
      <c r="F21" s="29"/>
      <c r="G21" s="29"/>
      <c r="H21" s="29"/>
      <c r="I21" s="29"/>
      <c r="J21" s="29"/>
      <c r="K21" s="29"/>
      <c r="L21" s="33"/>
      <c r="M21" s="25"/>
      <c r="N21" s="31"/>
      <c r="O21" s="25"/>
      <c r="P21" s="25"/>
      <c r="Q21" s="25"/>
    </row>
    <row r="22" spans="3:17" ht="15.75" customHeight="1">
      <c r="C22" s="25"/>
      <c r="D22" s="25"/>
      <c r="E22" s="25"/>
      <c r="F22" s="6"/>
      <c r="G22" s="6" t="s">
        <v>8</v>
      </c>
      <c r="H22" s="6" t="s">
        <v>9</v>
      </c>
      <c r="I22" s="6" t="s">
        <v>10</v>
      </c>
      <c r="J22" s="6" t="s">
        <v>11</v>
      </c>
      <c r="K22" s="6" t="s">
        <v>25</v>
      </c>
      <c r="L22" s="41" t="s">
        <v>48</v>
      </c>
      <c r="M22" s="26"/>
      <c r="N22" s="19" t="s">
        <v>50</v>
      </c>
      <c r="O22" s="25"/>
      <c r="P22" s="25"/>
      <c r="Q22" s="25"/>
    </row>
    <row r="23" spans="3:17" ht="15.75" customHeight="1">
      <c r="C23" s="25"/>
      <c r="D23" s="25"/>
      <c r="E23" s="28"/>
      <c r="F23" s="6" t="s">
        <v>13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44">
        <f>SUM(G23:K23)</f>
        <v>1</v>
      </c>
      <c r="M23" s="38" t="s">
        <v>49</v>
      </c>
      <c r="N23" s="45">
        <v>1</v>
      </c>
      <c r="O23" s="25"/>
      <c r="P23" s="25"/>
      <c r="Q23" s="25"/>
    </row>
    <row r="24" spans="3:17" ht="15.75" customHeight="1">
      <c r="C24" s="25"/>
      <c r="D24" s="25"/>
      <c r="E24" s="25"/>
      <c r="F24" s="6" t="s">
        <v>15</v>
      </c>
      <c r="G24" s="8">
        <v>0</v>
      </c>
      <c r="H24" s="8">
        <v>0</v>
      </c>
      <c r="I24" s="8">
        <v>1</v>
      </c>
      <c r="J24" s="8">
        <v>0</v>
      </c>
      <c r="K24" s="8">
        <v>0</v>
      </c>
      <c r="L24" s="44">
        <f t="shared" ref="L24:L27" si="0">SUM(G24:K24)</f>
        <v>1</v>
      </c>
      <c r="M24" s="38" t="s">
        <v>49</v>
      </c>
      <c r="N24" s="45">
        <v>1</v>
      </c>
      <c r="O24" s="25"/>
      <c r="P24" s="25"/>
      <c r="Q24" s="25"/>
    </row>
    <row r="25" spans="3:17" ht="15.75" customHeight="1">
      <c r="C25" s="25"/>
      <c r="D25" s="25"/>
      <c r="E25" s="25"/>
      <c r="F25" s="6" t="s">
        <v>16</v>
      </c>
      <c r="G25" s="8">
        <v>0</v>
      </c>
      <c r="H25" s="8">
        <v>1</v>
      </c>
      <c r="I25" s="8">
        <v>0</v>
      </c>
      <c r="J25" s="8">
        <v>0</v>
      </c>
      <c r="K25" s="8">
        <v>0</v>
      </c>
      <c r="L25" s="44">
        <f t="shared" si="0"/>
        <v>1</v>
      </c>
      <c r="M25" s="38" t="s">
        <v>49</v>
      </c>
      <c r="N25" s="45">
        <v>1</v>
      </c>
      <c r="O25" s="25"/>
      <c r="P25" s="25"/>
      <c r="Q25" s="25"/>
    </row>
    <row r="26" spans="3:17" ht="15.75" customHeight="1">
      <c r="C26" s="25"/>
      <c r="D26" s="25"/>
      <c r="E26" s="25"/>
      <c r="F26" s="6" t="s">
        <v>22</v>
      </c>
      <c r="G26" s="8">
        <v>0</v>
      </c>
      <c r="H26" s="8">
        <v>0</v>
      </c>
      <c r="I26" s="8">
        <v>0</v>
      </c>
      <c r="J26" s="8">
        <v>1</v>
      </c>
      <c r="K26" s="8">
        <v>0</v>
      </c>
      <c r="L26" s="44">
        <f t="shared" si="0"/>
        <v>1</v>
      </c>
      <c r="M26" s="38" t="s">
        <v>49</v>
      </c>
      <c r="N26" s="45">
        <v>1</v>
      </c>
      <c r="O26" s="25"/>
      <c r="P26" s="25"/>
      <c r="Q26" s="25"/>
    </row>
    <row r="27" spans="3:17" ht="15.75" customHeight="1">
      <c r="C27" s="25"/>
      <c r="D27" s="25"/>
      <c r="E27" s="25"/>
      <c r="F27" s="6" t="s">
        <v>30</v>
      </c>
      <c r="G27" s="8">
        <v>0</v>
      </c>
      <c r="H27" s="8">
        <v>0</v>
      </c>
      <c r="I27" s="8">
        <v>0</v>
      </c>
      <c r="J27" s="8">
        <v>0</v>
      </c>
      <c r="K27" s="8">
        <v>1</v>
      </c>
      <c r="L27" s="44">
        <f t="shared" si="0"/>
        <v>1</v>
      </c>
      <c r="M27" s="38" t="s">
        <v>49</v>
      </c>
      <c r="N27" s="45">
        <v>1</v>
      </c>
      <c r="O27" s="25"/>
      <c r="P27" s="25"/>
      <c r="Q27" s="25"/>
    </row>
    <row r="28" spans="3:17" ht="15.75" customHeight="1">
      <c r="C28" s="25"/>
      <c r="D28" s="25"/>
      <c r="E28" s="25"/>
      <c r="F28" s="41" t="s">
        <v>48</v>
      </c>
      <c r="G28" s="43">
        <f>SUM(G23:G27)</f>
        <v>1</v>
      </c>
      <c r="H28" s="43">
        <f t="shared" ref="H28:K28" si="1">SUM(H23:H27)</f>
        <v>1</v>
      </c>
      <c r="I28" s="43">
        <f t="shared" si="1"/>
        <v>1</v>
      </c>
      <c r="J28" s="43">
        <f t="shared" si="1"/>
        <v>1</v>
      </c>
      <c r="K28" s="43">
        <f t="shared" si="1"/>
        <v>1</v>
      </c>
      <c r="L28" s="37">
        <f>SUMPRODUCT(G11:K15,G23:K27)</f>
        <v>1605</v>
      </c>
      <c r="M28" s="32"/>
      <c r="N28" s="32"/>
      <c r="O28" s="25"/>
      <c r="P28" s="25"/>
      <c r="Q28" s="25"/>
    </row>
    <row r="29" spans="3:17" ht="15.75" customHeight="1">
      <c r="C29" s="25"/>
      <c r="D29" s="25"/>
      <c r="E29" s="25"/>
      <c r="F29" s="31"/>
      <c r="G29" s="45" t="s">
        <v>49</v>
      </c>
      <c r="H29" s="45" t="s">
        <v>49</v>
      </c>
      <c r="I29" s="45" t="s">
        <v>49</v>
      </c>
      <c r="J29" s="45" t="s">
        <v>49</v>
      </c>
      <c r="K29" s="45" t="s">
        <v>49</v>
      </c>
      <c r="L29" s="31"/>
      <c r="M29" s="25"/>
      <c r="N29" s="25"/>
      <c r="O29" s="25"/>
      <c r="P29" s="25"/>
      <c r="Q29" s="25"/>
    </row>
    <row r="30" spans="3:17" ht="15.75" customHeight="1">
      <c r="C30" s="25"/>
      <c r="D30" s="25"/>
      <c r="E30" s="25"/>
      <c r="F30" s="42" t="s">
        <v>51</v>
      </c>
      <c r="G30" s="25">
        <v>1</v>
      </c>
      <c r="H30" s="25">
        <v>1</v>
      </c>
      <c r="I30" s="25">
        <v>1</v>
      </c>
      <c r="J30" s="25">
        <v>1</v>
      </c>
      <c r="K30" s="25">
        <v>1</v>
      </c>
      <c r="L30" s="25"/>
      <c r="M30" s="25"/>
      <c r="N30" s="25"/>
      <c r="O30" s="25"/>
      <c r="P30" s="25"/>
      <c r="Q30" s="25"/>
    </row>
    <row r="31" spans="3:17" ht="15.75" customHeight="1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spans="3:17" ht="15.75" customHeight="1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</row>
    <row r="33" spans="3:17" ht="15.75" customHeight="1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</row>
    <row r="34" spans="3:17" ht="15.75" customHeight="1"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</row>
    <row r="35" spans="3:17" ht="15.75" customHeight="1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</row>
    <row r="36" spans="3:17" ht="15.75" customHeight="1"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spans="3:17" ht="15.75" customHeight="1"/>
    <row r="38" spans="3:17" ht="15.75" customHeight="1"/>
    <row r="39" spans="3:17" ht="15.75" customHeight="1"/>
    <row r="40" spans="3:17" ht="15.75" customHeight="1"/>
    <row r="41" spans="3:17" ht="15.75" customHeight="1"/>
    <row r="42" spans="3:17" ht="15.75" customHeight="1"/>
    <row r="43" spans="3:17" ht="15.75" customHeight="1"/>
    <row r="44" spans="3:17" ht="15.75" customHeight="1"/>
    <row r="45" spans="3:17" ht="15.75" customHeight="1"/>
    <row r="46" spans="3:17" ht="15.75" customHeight="1"/>
    <row r="47" spans="3:17" ht="15.75" customHeight="1"/>
    <row r="48" spans="3:1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1"/>
  <sheetViews>
    <sheetView topLeftCell="A22" workbookViewId="0">
      <selection activeCell="L28" sqref="L28"/>
    </sheetView>
  </sheetViews>
  <sheetFormatPr defaultRowHeight="14.5"/>
  <cols>
    <col min="1" max="1" width="40" customWidth="1"/>
  </cols>
  <sheetData>
    <row r="1" spans="1:14" ht="26">
      <c r="G1" s="1" t="s">
        <v>0</v>
      </c>
    </row>
    <row r="2" spans="1:14" ht="26">
      <c r="G2" s="1" t="s">
        <v>31</v>
      </c>
    </row>
    <row r="4" spans="1:14" ht="18.5">
      <c r="A4" s="2" t="s">
        <v>43</v>
      </c>
    </row>
    <row r="5" spans="1:14" ht="18.5">
      <c r="A5" s="2" t="s">
        <v>44</v>
      </c>
    </row>
    <row r="6" spans="1:14" ht="18.5">
      <c r="A6" s="2" t="s">
        <v>45</v>
      </c>
    </row>
    <row r="8" spans="1:14" ht="16" thickBot="1">
      <c r="A8" s="3" t="s">
        <v>35</v>
      </c>
    </row>
    <row r="9" spans="1:14" ht="15.5" thickTop="1" thickBot="1">
      <c r="D9" s="4" t="s">
        <v>6</v>
      </c>
      <c r="H9" s="5" t="s">
        <v>39</v>
      </c>
    </row>
    <row r="10" spans="1:14" ht="15" thickTop="1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25</v>
      </c>
      <c r="L10" s="13"/>
    </row>
    <row r="11" spans="1:14">
      <c r="F11" s="6" t="s">
        <v>13</v>
      </c>
      <c r="G11" s="8">
        <v>8</v>
      </c>
      <c r="H11" s="8">
        <v>4</v>
      </c>
      <c r="I11" s="8">
        <v>2</v>
      </c>
      <c r="J11" s="8">
        <v>6</v>
      </c>
      <c r="K11" s="8">
        <v>1</v>
      </c>
      <c r="L11" s="13"/>
      <c r="M11" s="13"/>
    </row>
    <row r="12" spans="1:14">
      <c r="E12" s="5" t="s">
        <v>37</v>
      </c>
      <c r="F12" s="6" t="s">
        <v>15</v>
      </c>
      <c r="G12" s="8">
        <v>0</v>
      </c>
      <c r="H12" s="8">
        <v>9</v>
      </c>
      <c r="I12" s="8">
        <v>5</v>
      </c>
      <c r="J12" s="8">
        <v>5</v>
      </c>
      <c r="K12" s="8">
        <v>4</v>
      </c>
      <c r="L12" s="13"/>
    </row>
    <row r="13" spans="1:14">
      <c r="F13" s="6" t="s">
        <v>16</v>
      </c>
      <c r="G13" s="8">
        <v>3</v>
      </c>
      <c r="H13" s="8">
        <v>8</v>
      </c>
      <c r="I13" s="8">
        <v>9</v>
      </c>
      <c r="J13" s="8">
        <v>2</v>
      </c>
      <c r="K13" s="8">
        <v>6</v>
      </c>
      <c r="L13" s="13"/>
    </row>
    <row r="14" spans="1:14">
      <c r="F14" s="6" t="s">
        <v>22</v>
      </c>
      <c r="G14" s="8">
        <v>4</v>
      </c>
      <c r="H14" s="8">
        <v>3</v>
      </c>
      <c r="I14" s="8">
        <v>1</v>
      </c>
      <c r="J14" s="8">
        <v>0</v>
      </c>
      <c r="K14" s="8">
        <v>3</v>
      </c>
      <c r="L14" s="13"/>
    </row>
    <row r="15" spans="1:14">
      <c r="F15" s="6" t="s">
        <v>30</v>
      </c>
      <c r="G15" s="8">
        <v>9</v>
      </c>
      <c r="H15" s="8">
        <v>5</v>
      </c>
      <c r="I15" s="8">
        <v>8</v>
      </c>
      <c r="J15" s="8">
        <v>9</v>
      </c>
      <c r="K15" s="8">
        <v>5</v>
      </c>
      <c r="L15" s="13"/>
    </row>
    <row r="16" spans="1:14">
      <c r="N16" s="9"/>
    </row>
    <row r="17" spans="3:19" ht="15" thickBot="1"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6"/>
      <c r="O17" s="25"/>
      <c r="P17" s="25"/>
      <c r="Q17" s="25"/>
      <c r="R17" s="25"/>
      <c r="S17" s="25"/>
    </row>
    <row r="18" spans="3:19" ht="15.5" thickTop="1" thickBot="1">
      <c r="C18" s="25"/>
      <c r="D18" s="27"/>
      <c r="E18" s="27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spans="3:19" ht="15" thickTop="1"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spans="3:19">
      <c r="C20" s="25"/>
      <c r="D20" s="25"/>
      <c r="E20" s="25"/>
      <c r="F20" s="25"/>
      <c r="G20" s="25"/>
      <c r="H20" s="28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</row>
    <row r="21" spans="3:19">
      <c r="C21" s="25"/>
      <c r="D21" s="25"/>
      <c r="E21" s="25"/>
      <c r="F21" s="29"/>
      <c r="G21" s="29"/>
      <c r="H21" s="29"/>
      <c r="I21" s="29"/>
      <c r="J21" s="29"/>
      <c r="K21" s="29"/>
      <c r="L21" s="33"/>
      <c r="M21" s="25"/>
      <c r="N21" s="31"/>
      <c r="O21" s="25"/>
      <c r="P21" s="25"/>
      <c r="Q21" s="25"/>
      <c r="R21" s="25"/>
      <c r="S21" s="25"/>
    </row>
    <row r="22" spans="3:19">
      <c r="C22" s="25"/>
      <c r="D22" s="25"/>
      <c r="E22" s="25"/>
      <c r="F22" s="6"/>
      <c r="G22" s="6" t="s">
        <v>8</v>
      </c>
      <c r="H22" s="6" t="s">
        <v>9</v>
      </c>
      <c r="I22" s="6" t="s">
        <v>10</v>
      </c>
      <c r="J22" s="6" t="s">
        <v>11</v>
      </c>
      <c r="K22" s="6" t="s">
        <v>25</v>
      </c>
      <c r="L22" s="41" t="s">
        <v>48</v>
      </c>
      <c r="M22" s="26"/>
      <c r="N22" s="19" t="s">
        <v>50</v>
      </c>
      <c r="O22" s="25"/>
      <c r="P22" s="25"/>
      <c r="Q22" s="25"/>
      <c r="R22" s="25"/>
      <c r="S22" s="25"/>
    </row>
    <row r="23" spans="3:19">
      <c r="C23" s="25"/>
      <c r="D23" s="25"/>
      <c r="E23" s="28"/>
      <c r="F23" s="6" t="s">
        <v>13</v>
      </c>
      <c r="G23" s="8">
        <v>0</v>
      </c>
      <c r="H23" s="8">
        <v>0</v>
      </c>
      <c r="I23" s="8">
        <v>0</v>
      </c>
      <c r="J23" s="8">
        <v>0</v>
      </c>
      <c r="K23" s="8">
        <v>1</v>
      </c>
      <c r="L23" s="40">
        <f>SUM(G23:K23)</f>
        <v>1</v>
      </c>
      <c r="M23" s="38" t="s">
        <v>49</v>
      </c>
      <c r="N23" s="45">
        <v>1</v>
      </c>
      <c r="O23" s="25"/>
      <c r="P23" s="25"/>
      <c r="Q23" s="25"/>
      <c r="R23" s="25"/>
      <c r="S23" s="25"/>
    </row>
    <row r="24" spans="3:19">
      <c r="C24" s="25"/>
      <c r="D24" s="25"/>
      <c r="E24" s="25"/>
      <c r="F24" s="6" t="s">
        <v>15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40">
        <f t="shared" ref="L24:L27" si="0">SUM(G24:K24)</f>
        <v>1</v>
      </c>
      <c r="M24" s="38" t="s">
        <v>49</v>
      </c>
      <c r="N24" s="45">
        <v>1</v>
      </c>
      <c r="O24" s="25"/>
      <c r="P24" s="25"/>
      <c r="Q24" s="25"/>
      <c r="R24" s="25"/>
      <c r="S24" s="25"/>
    </row>
    <row r="25" spans="3:19">
      <c r="C25" s="25"/>
      <c r="D25" s="25"/>
      <c r="E25" s="25"/>
      <c r="F25" s="6" t="s">
        <v>16</v>
      </c>
      <c r="G25" s="8">
        <v>0</v>
      </c>
      <c r="H25" s="8">
        <v>0</v>
      </c>
      <c r="I25" s="8">
        <v>0</v>
      </c>
      <c r="J25" s="8">
        <v>1</v>
      </c>
      <c r="K25" s="8">
        <v>0</v>
      </c>
      <c r="L25" s="40">
        <f t="shared" si="0"/>
        <v>1</v>
      </c>
      <c r="M25" s="38" t="s">
        <v>49</v>
      </c>
      <c r="N25" s="45">
        <v>1</v>
      </c>
      <c r="O25" s="25"/>
      <c r="P25" s="25"/>
      <c r="Q25" s="25"/>
      <c r="R25" s="25"/>
      <c r="S25" s="25"/>
    </row>
    <row r="26" spans="3:19">
      <c r="C26" s="25"/>
      <c r="D26" s="25"/>
      <c r="E26" s="25"/>
      <c r="F26" s="6" t="s">
        <v>22</v>
      </c>
      <c r="G26" s="8">
        <v>0</v>
      </c>
      <c r="H26" s="8">
        <v>0</v>
      </c>
      <c r="I26" s="8">
        <v>1</v>
      </c>
      <c r="J26" s="8">
        <v>0</v>
      </c>
      <c r="K26" s="8">
        <v>0</v>
      </c>
      <c r="L26" s="40">
        <f t="shared" si="0"/>
        <v>1</v>
      </c>
      <c r="M26" s="38" t="s">
        <v>49</v>
      </c>
      <c r="N26" s="45">
        <v>1</v>
      </c>
      <c r="O26" s="25"/>
      <c r="P26" s="25"/>
      <c r="Q26" s="25"/>
      <c r="R26" s="25"/>
      <c r="S26" s="25"/>
    </row>
    <row r="27" spans="3:19">
      <c r="C27" s="25"/>
      <c r="D27" s="25"/>
      <c r="E27" s="25"/>
      <c r="F27" s="6" t="s">
        <v>30</v>
      </c>
      <c r="G27" s="8">
        <v>0</v>
      </c>
      <c r="H27" s="8">
        <v>1</v>
      </c>
      <c r="I27" s="8">
        <v>0</v>
      </c>
      <c r="J27" s="8">
        <v>0</v>
      </c>
      <c r="K27" s="8">
        <v>0</v>
      </c>
      <c r="L27" s="40">
        <f t="shared" si="0"/>
        <v>1</v>
      </c>
      <c r="M27" s="38" t="s">
        <v>49</v>
      </c>
      <c r="N27" s="45">
        <v>1</v>
      </c>
      <c r="O27" s="25"/>
      <c r="P27" s="25"/>
      <c r="Q27" s="25"/>
      <c r="R27" s="25"/>
      <c r="S27" s="25"/>
    </row>
    <row r="28" spans="3:19">
      <c r="C28" s="25"/>
      <c r="D28" s="25"/>
      <c r="E28" s="25"/>
      <c r="F28" s="41" t="s">
        <v>48</v>
      </c>
      <c r="G28" s="43">
        <f>SUM(G23:G27)</f>
        <v>1</v>
      </c>
      <c r="H28" s="43">
        <f t="shared" ref="H28:K28" si="1">SUM(H23:H27)</f>
        <v>1</v>
      </c>
      <c r="I28" s="43">
        <f t="shared" si="1"/>
        <v>1</v>
      </c>
      <c r="J28" s="43">
        <f t="shared" si="1"/>
        <v>1</v>
      </c>
      <c r="K28" s="43">
        <f t="shared" si="1"/>
        <v>1</v>
      </c>
      <c r="L28" s="37">
        <f>SUMPRODUCT(G11:K15,G23:K27)</f>
        <v>9</v>
      </c>
      <c r="M28" s="32"/>
      <c r="N28" s="32"/>
      <c r="O28" s="25"/>
      <c r="P28" s="25"/>
      <c r="Q28" s="25"/>
      <c r="R28" s="25"/>
      <c r="S28" s="25"/>
    </row>
    <row r="29" spans="3:19">
      <c r="C29" s="25"/>
      <c r="D29" s="25"/>
      <c r="E29" s="25"/>
      <c r="F29" s="31"/>
      <c r="G29" s="45" t="s">
        <v>49</v>
      </c>
      <c r="H29" s="45" t="s">
        <v>49</v>
      </c>
      <c r="I29" s="45" t="s">
        <v>49</v>
      </c>
      <c r="J29" s="45" t="s">
        <v>49</v>
      </c>
      <c r="K29" s="45" t="s">
        <v>49</v>
      </c>
      <c r="L29" s="31"/>
      <c r="M29" s="25"/>
      <c r="N29" s="25"/>
      <c r="O29" s="25"/>
      <c r="P29" s="25"/>
      <c r="Q29" s="25"/>
      <c r="R29" s="25"/>
      <c r="S29" s="25"/>
    </row>
    <row r="30" spans="3:19">
      <c r="C30" s="25"/>
      <c r="D30" s="25"/>
      <c r="E30" s="25"/>
      <c r="F30" s="38" t="s">
        <v>51</v>
      </c>
      <c r="G30" s="42">
        <v>1</v>
      </c>
      <c r="H30" s="42">
        <v>1</v>
      </c>
      <c r="I30" s="42">
        <v>1</v>
      </c>
      <c r="J30" s="42">
        <v>1</v>
      </c>
      <c r="K30" s="42">
        <v>1</v>
      </c>
      <c r="L30" s="25"/>
      <c r="M30" s="25"/>
      <c r="N30" s="25"/>
      <c r="O30" s="25"/>
      <c r="P30" s="25"/>
      <c r="Q30" s="25"/>
      <c r="R30" s="25"/>
      <c r="S30" s="25"/>
    </row>
    <row r="31" spans="3:19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27"/>
  <sheetViews>
    <sheetView topLeftCell="A16" workbookViewId="0">
      <selection activeCell="L21" sqref="L21:L24"/>
    </sheetView>
  </sheetViews>
  <sheetFormatPr defaultRowHeight="14.5"/>
  <cols>
    <col min="1" max="1" width="36" customWidth="1"/>
  </cols>
  <sheetData>
    <row r="1" spans="1:13" ht="26">
      <c r="G1" s="1" t="s">
        <v>0</v>
      </c>
    </row>
    <row r="2" spans="1:13" ht="26">
      <c r="G2" s="1" t="s">
        <v>31</v>
      </c>
    </row>
    <row r="4" spans="1:13" ht="18.5">
      <c r="A4" s="2" t="s">
        <v>43</v>
      </c>
    </row>
    <row r="5" spans="1:13" ht="18.5">
      <c r="A5" s="2" t="s">
        <v>44</v>
      </c>
    </row>
    <row r="6" spans="1:13" ht="18.5">
      <c r="A6" s="2" t="s">
        <v>45</v>
      </c>
    </row>
    <row r="8" spans="1:13" ht="16" thickBot="1">
      <c r="A8" s="3" t="s">
        <v>19</v>
      </c>
    </row>
    <row r="9" spans="1:13" ht="15.5" thickTop="1" thickBot="1">
      <c r="D9" s="4" t="s">
        <v>6</v>
      </c>
      <c r="H9" s="5" t="s">
        <v>39</v>
      </c>
    </row>
    <row r="10" spans="1:13" ht="15" thickTop="1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13"/>
    </row>
    <row r="11" spans="1:13">
      <c r="F11" s="6" t="s">
        <v>13</v>
      </c>
      <c r="G11" s="8">
        <v>8</v>
      </c>
      <c r="H11" s="8">
        <v>26</v>
      </c>
      <c r="I11" s="8">
        <v>17</v>
      </c>
      <c r="J11" s="8">
        <v>11</v>
      </c>
      <c r="K11" s="13"/>
      <c r="L11" s="13"/>
    </row>
    <row r="12" spans="1:13">
      <c r="E12" s="5" t="s">
        <v>37</v>
      </c>
      <c r="F12" s="6" t="s">
        <v>15</v>
      </c>
      <c r="G12" s="8">
        <v>13</v>
      </c>
      <c r="H12" s="8">
        <v>28</v>
      </c>
      <c r="I12" s="8">
        <v>4</v>
      </c>
      <c r="J12" s="8">
        <v>26</v>
      </c>
      <c r="K12" s="13"/>
    </row>
    <row r="13" spans="1:13">
      <c r="F13" s="6" t="s">
        <v>16</v>
      </c>
      <c r="G13" s="8">
        <v>38</v>
      </c>
      <c r="H13" s="8">
        <v>19</v>
      </c>
      <c r="I13" s="8">
        <v>18</v>
      </c>
      <c r="J13" s="8">
        <v>15</v>
      </c>
      <c r="K13" s="13"/>
    </row>
    <row r="14" spans="1:13">
      <c r="F14" s="6" t="s">
        <v>22</v>
      </c>
      <c r="G14" s="8">
        <v>19</v>
      </c>
      <c r="H14" s="8">
        <v>26</v>
      </c>
      <c r="I14" s="8">
        <v>24</v>
      </c>
      <c r="J14" s="8">
        <v>10</v>
      </c>
      <c r="K14" s="13"/>
    </row>
    <row r="15" spans="1:13">
      <c r="M15" s="9"/>
    </row>
    <row r="16" spans="1:13" ht="15" thickBot="1">
      <c r="M16" s="9"/>
    </row>
    <row r="17" spans="4:13" ht="15.5" thickTop="1" thickBot="1">
      <c r="D17" s="4"/>
      <c r="E17" s="4"/>
    </row>
    <row r="18" spans="4:13" ht="15" thickTop="1"/>
    <row r="19" spans="4:13">
      <c r="H19" s="10"/>
    </row>
    <row r="20" spans="4:13">
      <c r="F20" s="6"/>
      <c r="G20" s="6" t="s">
        <v>8</v>
      </c>
      <c r="H20" s="6" t="s">
        <v>9</v>
      </c>
      <c r="I20" s="6" t="s">
        <v>10</v>
      </c>
      <c r="J20" s="6" t="s">
        <v>11</v>
      </c>
      <c r="K20" s="17" t="s">
        <v>48</v>
      </c>
      <c r="M20" s="19" t="s">
        <v>50</v>
      </c>
    </row>
    <row r="21" spans="4:13">
      <c r="F21" s="6" t="s">
        <v>13</v>
      </c>
      <c r="G21" s="8">
        <v>1</v>
      </c>
      <c r="H21" s="8">
        <v>0</v>
      </c>
      <c r="I21" s="8">
        <v>0</v>
      </c>
      <c r="J21" s="8">
        <v>0</v>
      </c>
      <c r="K21" s="22">
        <f>SUM(G21:J21)</f>
        <v>1</v>
      </c>
      <c r="L21" s="46" t="s">
        <v>49</v>
      </c>
      <c r="M21" s="19">
        <v>1</v>
      </c>
    </row>
    <row r="22" spans="4:13">
      <c r="E22" s="5" t="s">
        <v>37</v>
      </c>
      <c r="F22" s="6" t="s">
        <v>15</v>
      </c>
      <c r="G22" s="8">
        <v>0</v>
      </c>
      <c r="H22" s="8">
        <v>0</v>
      </c>
      <c r="I22" s="8">
        <v>1</v>
      </c>
      <c r="J22" s="8">
        <v>0</v>
      </c>
      <c r="K22" s="22">
        <f t="shared" ref="K22:K24" si="0">SUM(G22:J22)</f>
        <v>1</v>
      </c>
      <c r="L22" s="46" t="s">
        <v>49</v>
      </c>
      <c r="M22" s="19">
        <v>1</v>
      </c>
    </row>
    <row r="23" spans="4:13">
      <c r="F23" s="6" t="s">
        <v>16</v>
      </c>
      <c r="G23" s="8">
        <v>0</v>
      </c>
      <c r="H23" s="8">
        <v>1</v>
      </c>
      <c r="I23" s="8">
        <v>0</v>
      </c>
      <c r="J23" s="8">
        <v>0</v>
      </c>
      <c r="K23" s="22">
        <f t="shared" si="0"/>
        <v>1</v>
      </c>
      <c r="L23" s="46" t="s">
        <v>49</v>
      </c>
      <c r="M23" s="19">
        <v>1</v>
      </c>
    </row>
    <row r="24" spans="4:13">
      <c r="F24" s="6" t="s">
        <v>22</v>
      </c>
      <c r="G24" s="8">
        <v>0</v>
      </c>
      <c r="H24" s="8">
        <v>0</v>
      </c>
      <c r="I24" s="8">
        <v>0</v>
      </c>
      <c r="J24" s="8">
        <v>1</v>
      </c>
      <c r="K24" s="22">
        <f t="shared" si="0"/>
        <v>1</v>
      </c>
      <c r="L24" s="46" t="s">
        <v>49</v>
      </c>
      <c r="M24" s="19">
        <v>1</v>
      </c>
    </row>
    <row r="25" spans="4:13">
      <c r="F25" s="18" t="s">
        <v>48</v>
      </c>
      <c r="G25" s="18">
        <f>SUM(G21:G24)</f>
        <v>1</v>
      </c>
      <c r="H25" s="18">
        <f t="shared" ref="H25:J25" si="1">SUM(H21:H24)</f>
        <v>1</v>
      </c>
      <c r="I25" s="18">
        <f t="shared" si="1"/>
        <v>1</v>
      </c>
      <c r="J25" s="18">
        <f t="shared" si="1"/>
        <v>1</v>
      </c>
      <c r="K25" s="17">
        <f>SUMPRODUCT(G11:J14,G21:J24)</f>
        <v>41</v>
      </c>
    </row>
    <row r="26" spans="4:13">
      <c r="G26" s="46" t="s">
        <v>49</v>
      </c>
      <c r="H26" s="46" t="s">
        <v>49</v>
      </c>
      <c r="I26" s="46" t="s">
        <v>49</v>
      </c>
      <c r="J26" s="46" t="s">
        <v>49</v>
      </c>
      <c r="L26" s="11"/>
      <c r="M26" s="11"/>
    </row>
    <row r="27" spans="4:13">
      <c r="F27" s="19" t="s">
        <v>52</v>
      </c>
      <c r="G27" s="19">
        <v>1</v>
      </c>
      <c r="H27" s="19">
        <v>1</v>
      </c>
      <c r="I27" s="19">
        <v>1</v>
      </c>
      <c r="J27" s="19">
        <v>1</v>
      </c>
      <c r="K27" s="1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29"/>
  <sheetViews>
    <sheetView topLeftCell="A10" zoomScale="72" workbookViewId="0">
      <selection activeCell="M22" sqref="M22:M26"/>
    </sheetView>
  </sheetViews>
  <sheetFormatPr defaultRowHeight="14.5"/>
  <cols>
    <col min="1" max="1" width="37.1796875" customWidth="1"/>
  </cols>
  <sheetData>
    <row r="1" spans="1:14" ht="26">
      <c r="G1" s="1" t="s">
        <v>0</v>
      </c>
    </row>
    <row r="2" spans="1:14" ht="26">
      <c r="G2" s="1" t="s">
        <v>31</v>
      </c>
    </row>
    <row r="4" spans="1:14" ht="18.5">
      <c r="A4" s="2" t="s">
        <v>46</v>
      </c>
    </row>
    <row r="5" spans="1:14" ht="18.5">
      <c r="A5" s="2" t="s">
        <v>47</v>
      </c>
    </row>
    <row r="6" spans="1:14" ht="18.5">
      <c r="A6" s="2" t="s">
        <v>45</v>
      </c>
    </row>
    <row r="8" spans="1:14" ht="16" thickBot="1">
      <c r="A8" s="3" t="s">
        <v>20</v>
      </c>
    </row>
    <row r="9" spans="1:14" ht="15.5" thickTop="1" thickBot="1">
      <c r="D9" s="4" t="s">
        <v>6</v>
      </c>
      <c r="H9" s="5" t="s">
        <v>33</v>
      </c>
    </row>
    <row r="10" spans="1:14" ht="15" thickTop="1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25</v>
      </c>
      <c r="L10" s="13"/>
    </row>
    <row r="11" spans="1:14">
      <c r="F11" s="6" t="s">
        <v>13</v>
      </c>
      <c r="G11" s="8">
        <v>160</v>
      </c>
      <c r="H11" s="8">
        <v>130</v>
      </c>
      <c r="I11" s="8">
        <v>175</v>
      </c>
      <c r="J11" s="8">
        <v>190</v>
      </c>
      <c r="K11" s="8">
        <v>200</v>
      </c>
      <c r="L11" s="13"/>
      <c r="M11" s="13"/>
    </row>
    <row r="12" spans="1:14">
      <c r="E12" s="5" t="s">
        <v>34</v>
      </c>
      <c r="F12" s="6" t="s">
        <v>15</v>
      </c>
      <c r="G12" s="8">
        <v>135</v>
      </c>
      <c r="H12" s="8">
        <v>120</v>
      </c>
      <c r="I12" s="8">
        <v>130</v>
      </c>
      <c r="J12" s="8">
        <v>100</v>
      </c>
      <c r="K12" s="8">
        <v>175</v>
      </c>
      <c r="L12" s="13"/>
    </row>
    <row r="13" spans="1:14">
      <c r="F13" s="6" t="s">
        <v>16</v>
      </c>
      <c r="G13" s="8">
        <v>140</v>
      </c>
      <c r="H13" s="8">
        <v>110</v>
      </c>
      <c r="I13" s="8">
        <v>155</v>
      </c>
      <c r="J13" s="8">
        <v>170</v>
      </c>
      <c r="K13" s="8">
        <v>185</v>
      </c>
      <c r="L13" s="13"/>
    </row>
    <row r="14" spans="1:14">
      <c r="F14" s="6" t="s">
        <v>22</v>
      </c>
      <c r="G14" s="8">
        <v>50</v>
      </c>
      <c r="H14" s="8">
        <v>50</v>
      </c>
      <c r="I14" s="8">
        <v>80</v>
      </c>
      <c r="J14" s="8">
        <v>80</v>
      </c>
      <c r="K14" s="8">
        <v>110</v>
      </c>
      <c r="L14" s="13"/>
    </row>
    <row r="15" spans="1:14">
      <c r="F15" s="6" t="s">
        <v>30</v>
      </c>
      <c r="G15" s="8">
        <v>55</v>
      </c>
      <c r="H15" s="8">
        <v>35</v>
      </c>
      <c r="I15" s="8">
        <v>70</v>
      </c>
      <c r="J15" s="8">
        <v>80</v>
      </c>
      <c r="K15" s="8">
        <v>105</v>
      </c>
      <c r="L15" s="13"/>
    </row>
    <row r="16" spans="1:14">
      <c r="N16" s="9"/>
    </row>
    <row r="17" spans="4:14" ht="15" thickBot="1">
      <c r="N17" s="9"/>
    </row>
    <row r="18" spans="4:14" ht="15.5" thickTop="1" thickBot="1">
      <c r="D18" s="4"/>
      <c r="E18" s="4"/>
    </row>
    <row r="19" spans="4:14" ht="15" thickTop="1"/>
    <row r="20" spans="4:14">
      <c r="H20" s="10"/>
    </row>
    <row r="21" spans="4:14"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6" t="s">
        <v>25</v>
      </c>
      <c r="L21" s="17" t="s">
        <v>48</v>
      </c>
      <c r="N21" s="19" t="s">
        <v>50</v>
      </c>
    </row>
    <row r="22" spans="4:14">
      <c r="F22" s="6" t="s">
        <v>13</v>
      </c>
      <c r="G22" s="8">
        <v>0</v>
      </c>
      <c r="H22" s="8">
        <v>0</v>
      </c>
      <c r="I22" s="8">
        <v>0</v>
      </c>
      <c r="J22" s="8">
        <v>0</v>
      </c>
      <c r="K22" s="8">
        <v>1</v>
      </c>
      <c r="L22" s="22">
        <f>SUM(G22:K22)</f>
        <v>1</v>
      </c>
      <c r="M22" s="46" t="s">
        <v>49</v>
      </c>
      <c r="N22" s="19">
        <v>1</v>
      </c>
    </row>
    <row r="23" spans="4:14">
      <c r="E23" s="5" t="s">
        <v>34</v>
      </c>
      <c r="F23" s="6" t="s">
        <v>15</v>
      </c>
      <c r="G23" s="8">
        <v>0</v>
      </c>
      <c r="H23" s="8">
        <v>0</v>
      </c>
      <c r="I23" s="8">
        <v>0</v>
      </c>
      <c r="J23" s="8">
        <v>1</v>
      </c>
      <c r="K23" s="8">
        <v>0</v>
      </c>
      <c r="L23" s="22">
        <f t="shared" ref="L23:L26" si="0">SUM(G23:K23)</f>
        <v>1</v>
      </c>
      <c r="M23" s="46" t="s">
        <v>49</v>
      </c>
      <c r="N23" s="19">
        <v>1</v>
      </c>
    </row>
    <row r="24" spans="4:14">
      <c r="F24" s="6" t="s">
        <v>16</v>
      </c>
      <c r="G24" s="8">
        <v>0</v>
      </c>
      <c r="H24" s="8">
        <v>1</v>
      </c>
      <c r="I24" s="8">
        <v>0</v>
      </c>
      <c r="J24" s="8">
        <v>0</v>
      </c>
      <c r="K24" s="8">
        <v>0</v>
      </c>
      <c r="L24" s="22">
        <f t="shared" si="0"/>
        <v>1</v>
      </c>
      <c r="M24" s="46" t="s">
        <v>49</v>
      </c>
      <c r="N24" s="19">
        <v>1</v>
      </c>
    </row>
    <row r="25" spans="4:14">
      <c r="F25" s="6" t="s">
        <v>22</v>
      </c>
      <c r="G25" s="8">
        <v>1</v>
      </c>
      <c r="H25" s="8">
        <v>0</v>
      </c>
      <c r="I25" s="8">
        <v>0</v>
      </c>
      <c r="J25" s="8">
        <v>0</v>
      </c>
      <c r="K25" s="8">
        <v>0</v>
      </c>
      <c r="L25" s="22">
        <f t="shared" si="0"/>
        <v>1</v>
      </c>
      <c r="M25" s="46" t="s">
        <v>49</v>
      </c>
      <c r="N25" s="19">
        <v>1</v>
      </c>
    </row>
    <row r="26" spans="4:14">
      <c r="F26" s="6" t="s">
        <v>30</v>
      </c>
      <c r="G26" s="8">
        <v>0</v>
      </c>
      <c r="H26" s="8">
        <v>0</v>
      </c>
      <c r="I26" s="8">
        <v>1</v>
      </c>
      <c r="J26" s="8">
        <v>0</v>
      </c>
      <c r="K26" s="8">
        <v>0</v>
      </c>
      <c r="L26" s="22">
        <f t="shared" si="0"/>
        <v>1</v>
      </c>
      <c r="M26" s="46" t="s">
        <v>49</v>
      </c>
      <c r="N26" s="19">
        <v>1</v>
      </c>
    </row>
    <row r="27" spans="4:14">
      <c r="F27" s="18" t="s">
        <v>48</v>
      </c>
      <c r="G27" s="18">
        <f>SUM(G22:G26)</f>
        <v>1</v>
      </c>
      <c r="H27" s="18">
        <f t="shared" ref="H27:K27" si="1">SUM(H22:H26)</f>
        <v>1</v>
      </c>
      <c r="I27" s="18">
        <f t="shared" si="1"/>
        <v>1</v>
      </c>
      <c r="J27" s="18">
        <f t="shared" si="1"/>
        <v>1</v>
      </c>
      <c r="K27" s="18">
        <f t="shared" si="1"/>
        <v>1</v>
      </c>
      <c r="L27" s="17">
        <f>SUMPRODUCT(G11:K15,G22:K26)</f>
        <v>530</v>
      </c>
    </row>
    <row r="28" spans="4:14">
      <c r="G28" s="46" t="s">
        <v>49</v>
      </c>
      <c r="H28" s="46" t="s">
        <v>49</v>
      </c>
      <c r="I28" s="46" t="s">
        <v>49</v>
      </c>
      <c r="J28" s="46" t="s">
        <v>49</v>
      </c>
      <c r="K28" s="46" t="s">
        <v>49</v>
      </c>
      <c r="L28" s="15"/>
      <c r="M28" s="11"/>
      <c r="N28" s="11"/>
    </row>
    <row r="29" spans="4:14">
      <c r="F29" s="19" t="s">
        <v>51</v>
      </c>
      <c r="G29" s="19">
        <v>1</v>
      </c>
      <c r="H29" s="19">
        <v>1</v>
      </c>
      <c r="I29" s="19">
        <v>1</v>
      </c>
      <c r="J29" s="19">
        <v>1</v>
      </c>
      <c r="K29" s="19">
        <v>1</v>
      </c>
      <c r="L29" s="1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9"/>
  <sheetViews>
    <sheetView topLeftCell="A10" workbookViewId="0">
      <selection activeCell="M22" sqref="M22:M26"/>
    </sheetView>
  </sheetViews>
  <sheetFormatPr defaultRowHeight="14.5"/>
  <cols>
    <col min="1" max="1" width="37" customWidth="1"/>
  </cols>
  <sheetData>
    <row r="1" spans="1:14" ht="26">
      <c r="G1" s="1" t="s">
        <v>0</v>
      </c>
    </row>
    <row r="2" spans="1:14" ht="26">
      <c r="G2" s="1" t="s">
        <v>31</v>
      </c>
    </row>
    <row r="4" spans="1:14" ht="18.5">
      <c r="A4" s="2" t="s">
        <v>46</v>
      </c>
    </row>
    <row r="5" spans="1:14" ht="18.5">
      <c r="A5" s="2" t="s">
        <v>47</v>
      </c>
    </row>
    <row r="6" spans="1:14" ht="18.5">
      <c r="A6" s="2" t="s">
        <v>45</v>
      </c>
    </row>
    <row r="8" spans="1:14" ht="16" thickBot="1">
      <c r="A8" s="3" t="s">
        <v>21</v>
      </c>
    </row>
    <row r="9" spans="1:14" ht="15.5" thickTop="1" thickBot="1">
      <c r="D9" s="4" t="s">
        <v>6</v>
      </c>
      <c r="H9" s="5" t="s">
        <v>39</v>
      </c>
    </row>
    <row r="10" spans="1:14" ht="15" thickTop="1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25</v>
      </c>
      <c r="L10" s="13"/>
    </row>
    <row r="11" spans="1:14">
      <c r="F11" s="6" t="s">
        <v>13</v>
      </c>
      <c r="G11" s="8">
        <v>3</v>
      </c>
      <c r="H11" s="8">
        <v>5</v>
      </c>
      <c r="I11" s="8">
        <v>10</v>
      </c>
      <c r="J11" s="8">
        <v>15</v>
      </c>
      <c r="K11" s="8">
        <v>8</v>
      </c>
      <c r="L11" s="13"/>
      <c r="M11" s="13"/>
    </row>
    <row r="12" spans="1:14">
      <c r="E12" s="5" t="s">
        <v>37</v>
      </c>
      <c r="F12" s="6" t="s">
        <v>15</v>
      </c>
      <c r="G12" s="8">
        <v>4</v>
      </c>
      <c r="H12" s="8">
        <v>7</v>
      </c>
      <c r="I12" s="8">
        <v>15</v>
      </c>
      <c r="J12" s="8">
        <v>18</v>
      </c>
      <c r="K12" s="8">
        <v>8</v>
      </c>
      <c r="L12" s="13"/>
    </row>
    <row r="13" spans="1:14">
      <c r="F13" s="6" t="s">
        <v>16</v>
      </c>
      <c r="G13" s="8">
        <v>8</v>
      </c>
      <c r="H13" s="8">
        <v>12</v>
      </c>
      <c r="I13" s="8">
        <v>20</v>
      </c>
      <c r="J13" s="8">
        <v>20</v>
      </c>
      <c r="K13" s="8">
        <v>12</v>
      </c>
      <c r="L13" s="13"/>
    </row>
    <row r="14" spans="1:14">
      <c r="F14" s="6" t="s">
        <v>22</v>
      </c>
      <c r="G14" s="8">
        <v>5</v>
      </c>
      <c r="H14" s="8">
        <v>5</v>
      </c>
      <c r="I14" s="8">
        <v>8</v>
      </c>
      <c r="J14" s="8">
        <v>10</v>
      </c>
      <c r="K14" s="8">
        <v>6</v>
      </c>
      <c r="L14" s="13"/>
    </row>
    <row r="15" spans="1:14">
      <c r="F15" s="6" t="s">
        <v>30</v>
      </c>
      <c r="G15" s="8">
        <v>10</v>
      </c>
      <c r="H15" s="8">
        <v>10</v>
      </c>
      <c r="I15" s="8">
        <v>15</v>
      </c>
      <c r="J15" s="8">
        <v>25</v>
      </c>
      <c r="K15" s="8">
        <v>10</v>
      </c>
      <c r="L15" s="13"/>
    </row>
    <row r="16" spans="1:14">
      <c r="N16" s="9"/>
    </row>
    <row r="17" spans="4:14" ht="15" thickBot="1">
      <c r="N17" s="9"/>
    </row>
    <row r="18" spans="4:14" ht="15.5" thickTop="1" thickBot="1">
      <c r="D18" s="4"/>
      <c r="E18" s="4"/>
    </row>
    <row r="19" spans="4:14" ht="15" thickTop="1"/>
    <row r="20" spans="4:14">
      <c r="H20" s="10" t="s">
        <v>39</v>
      </c>
    </row>
    <row r="21" spans="4:14"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6" t="s">
        <v>25</v>
      </c>
      <c r="L21" s="17" t="s">
        <v>48</v>
      </c>
      <c r="N21" s="19" t="s">
        <v>50</v>
      </c>
    </row>
    <row r="22" spans="4:14">
      <c r="F22" s="6" t="s">
        <v>13</v>
      </c>
      <c r="G22" s="8">
        <v>0</v>
      </c>
      <c r="H22" s="8">
        <v>0</v>
      </c>
      <c r="I22" s="8">
        <v>1</v>
      </c>
      <c r="J22" s="8">
        <v>0</v>
      </c>
      <c r="K22" s="8">
        <v>0</v>
      </c>
      <c r="L22" s="22">
        <f>SUM(G22:K22)</f>
        <v>1</v>
      </c>
      <c r="M22" s="46" t="s">
        <v>49</v>
      </c>
      <c r="N22" s="19">
        <v>1</v>
      </c>
    </row>
    <row r="23" spans="4:14">
      <c r="E23" s="5" t="s">
        <v>37</v>
      </c>
      <c r="F23" s="6" t="s">
        <v>15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22">
        <f t="shared" ref="L23:L26" si="0">SUM(G23:K23)</f>
        <v>1</v>
      </c>
      <c r="M23" s="46" t="s">
        <v>49</v>
      </c>
      <c r="N23" s="19">
        <v>1</v>
      </c>
    </row>
    <row r="24" spans="4:14">
      <c r="F24" s="6" t="s">
        <v>16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22">
        <f t="shared" si="0"/>
        <v>1</v>
      </c>
      <c r="M24" s="46" t="s">
        <v>49</v>
      </c>
      <c r="N24" s="19">
        <v>1</v>
      </c>
    </row>
    <row r="25" spans="4:14">
      <c r="F25" s="6" t="s">
        <v>22</v>
      </c>
      <c r="G25" s="8">
        <v>0</v>
      </c>
      <c r="H25" s="8">
        <v>0</v>
      </c>
      <c r="I25" s="8">
        <v>0</v>
      </c>
      <c r="J25" s="8">
        <v>1</v>
      </c>
      <c r="K25" s="8">
        <v>0</v>
      </c>
      <c r="L25" s="22">
        <f t="shared" si="0"/>
        <v>1</v>
      </c>
      <c r="M25" s="46" t="s">
        <v>49</v>
      </c>
      <c r="N25" s="19">
        <v>1</v>
      </c>
    </row>
    <row r="26" spans="4:14">
      <c r="F26" s="6" t="s">
        <v>30</v>
      </c>
      <c r="G26" s="8">
        <v>0</v>
      </c>
      <c r="H26" s="8">
        <v>0</v>
      </c>
      <c r="I26" s="8">
        <v>0</v>
      </c>
      <c r="J26" s="8">
        <v>0</v>
      </c>
      <c r="K26" s="8">
        <v>1</v>
      </c>
      <c r="L26" s="22">
        <f t="shared" si="0"/>
        <v>1</v>
      </c>
      <c r="M26" s="46" t="s">
        <v>49</v>
      </c>
      <c r="N26" s="19">
        <v>1</v>
      </c>
    </row>
    <row r="27" spans="4:14">
      <c r="F27" s="18" t="s">
        <v>48</v>
      </c>
      <c r="G27" s="18">
        <f>SUM(G22:G26)</f>
        <v>1</v>
      </c>
      <c r="H27" s="18">
        <f t="shared" ref="H27:K27" si="1">SUM(H22:H26)</f>
        <v>1</v>
      </c>
      <c r="I27" s="18">
        <f t="shared" si="1"/>
        <v>1</v>
      </c>
      <c r="J27" s="18">
        <f t="shared" si="1"/>
        <v>1</v>
      </c>
      <c r="K27" s="18">
        <f t="shared" si="1"/>
        <v>1</v>
      </c>
      <c r="L27" s="17">
        <f>SUMPRODUCT(G11:K15,G22:K26)</f>
        <v>45</v>
      </c>
    </row>
    <row r="28" spans="4:14">
      <c r="G28" s="46" t="s">
        <v>49</v>
      </c>
      <c r="H28" s="46" t="s">
        <v>49</v>
      </c>
      <c r="I28" s="46" t="s">
        <v>49</v>
      </c>
      <c r="J28" s="46" t="s">
        <v>49</v>
      </c>
      <c r="K28" s="46" t="s">
        <v>49</v>
      </c>
      <c r="L28" s="15"/>
      <c r="M28" s="11"/>
      <c r="N28" s="11"/>
    </row>
    <row r="29" spans="4:14">
      <c r="F29" s="19" t="s">
        <v>52</v>
      </c>
      <c r="G29" s="19">
        <v>1</v>
      </c>
      <c r="H29" s="19">
        <v>1</v>
      </c>
      <c r="I29" s="19">
        <v>1</v>
      </c>
      <c r="J29" s="19">
        <v>1</v>
      </c>
      <c r="K29" s="19">
        <v>1</v>
      </c>
      <c r="L29" s="1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29"/>
  <sheetViews>
    <sheetView topLeftCell="A20" workbookViewId="0">
      <selection activeCell="M22" sqref="M22:M26"/>
    </sheetView>
  </sheetViews>
  <sheetFormatPr defaultRowHeight="14.5"/>
  <cols>
    <col min="1" max="1" width="36.7265625" customWidth="1"/>
  </cols>
  <sheetData>
    <row r="1" spans="1:14" ht="26">
      <c r="G1" s="1" t="s">
        <v>0</v>
      </c>
    </row>
    <row r="2" spans="1:14" ht="26">
      <c r="G2" s="1" t="s">
        <v>31</v>
      </c>
    </row>
    <row r="4" spans="1:14" ht="18.5">
      <c r="A4" s="2" t="s">
        <v>46</v>
      </c>
    </row>
    <row r="5" spans="1:14" ht="18.5">
      <c r="A5" s="2" t="s">
        <v>47</v>
      </c>
    </row>
    <row r="6" spans="1:14" ht="18.5">
      <c r="A6" s="2" t="s">
        <v>45</v>
      </c>
    </row>
    <row r="8" spans="1:14" ht="16" thickBot="1">
      <c r="A8" s="3" t="s">
        <v>23</v>
      </c>
    </row>
    <row r="9" spans="1:14" ht="15.5" thickTop="1" thickBot="1">
      <c r="D9" s="4" t="s">
        <v>6</v>
      </c>
      <c r="H9" s="5" t="s">
        <v>36</v>
      </c>
    </row>
    <row r="10" spans="1:14" ht="15" thickTop="1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25</v>
      </c>
      <c r="L10" s="13"/>
    </row>
    <row r="11" spans="1:14">
      <c r="F11" s="6" t="s">
        <v>13</v>
      </c>
      <c r="G11" s="8">
        <v>11</v>
      </c>
      <c r="H11" s="8">
        <v>17</v>
      </c>
      <c r="I11" s="8">
        <v>8</v>
      </c>
      <c r="J11" s="8">
        <v>16</v>
      </c>
      <c r="K11" s="8">
        <v>20</v>
      </c>
      <c r="L11" s="13"/>
      <c r="M11" s="13"/>
    </row>
    <row r="12" spans="1:14">
      <c r="E12" s="5" t="s">
        <v>38</v>
      </c>
      <c r="F12" s="6" t="s">
        <v>15</v>
      </c>
      <c r="G12" s="8">
        <v>9</v>
      </c>
      <c r="H12" s="8">
        <v>7</v>
      </c>
      <c r="I12" s="8">
        <v>12</v>
      </c>
      <c r="J12" s="8">
        <v>6</v>
      </c>
      <c r="K12" s="8">
        <v>15</v>
      </c>
      <c r="L12" s="13"/>
    </row>
    <row r="13" spans="1:14">
      <c r="F13" s="6" t="s">
        <v>16</v>
      </c>
      <c r="G13" s="8">
        <v>13</v>
      </c>
      <c r="H13" s="8">
        <v>16</v>
      </c>
      <c r="I13" s="8">
        <v>15</v>
      </c>
      <c r="J13" s="8">
        <v>12</v>
      </c>
      <c r="K13" s="8">
        <v>16</v>
      </c>
      <c r="L13" s="13"/>
    </row>
    <row r="14" spans="1:14">
      <c r="F14" s="6" t="s">
        <v>22</v>
      </c>
      <c r="G14" s="8">
        <v>21</v>
      </c>
      <c r="H14" s="8">
        <v>24</v>
      </c>
      <c r="I14" s="8">
        <v>17</v>
      </c>
      <c r="J14" s="8">
        <v>28</v>
      </c>
      <c r="K14" s="8">
        <v>26</v>
      </c>
      <c r="L14" s="13"/>
    </row>
    <row r="15" spans="1:14">
      <c r="F15" s="6" t="s">
        <v>30</v>
      </c>
      <c r="G15" s="8">
        <v>14</v>
      </c>
      <c r="H15" s="8">
        <v>10</v>
      </c>
      <c r="I15" s="8">
        <v>15</v>
      </c>
      <c r="J15" s="8">
        <v>25</v>
      </c>
      <c r="K15" s="8">
        <v>10</v>
      </c>
      <c r="L15" s="13"/>
    </row>
    <row r="16" spans="1:14">
      <c r="N16" s="9"/>
    </row>
    <row r="17" spans="4:14" ht="15" thickBot="1">
      <c r="N17" s="9"/>
    </row>
    <row r="18" spans="4:14" ht="15.5" thickTop="1" thickBot="1">
      <c r="D18" s="4"/>
      <c r="E18" s="4"/>
    </row>
    <row r="19" spans="4:14" ht="15" thickTop="1"/>
    <row r="20" spans="4:14">
      <c r="H20" s="10" t="s">
        <v>39</v>
      </c>
    </row>
    <row r="21" spans="4:14"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6" t="s">
        <v>25</v>
      </c>
      <c r="L21" s="20" t="s">
        <v>48</v>
      </c>
      <c r="N21" s="19" t="s">
        <v>50</v>
      </c>
    </row>
    <row r="22" spans="4:14">
      <c r="F22" s="6" t="s">
        <v>13</v>
      </c>
      <c r="G22" s="8">
        <v>1</v>
      </c>
      <c r="H22" s="8">
        <v>0</v>
      </c>
      <c r="I22" s="8">
        <v>0</v>
      </c>
      <c r="J22" s="8">
        <v>0</v>
      </c>
      <c r="K22" s="8">
        <v>0</v>
      </c>
      <c r="L22" s="23">
        <f>SUM(G22:K22)</f>
        <v>1</v>
      </c>
      <c r="M22" s="46" t="s">
        <v>49</v>
      </c>
      <c r="N22" s="19">
        <v>1</v>
      </c>
    </row>
    <row r="23" spans="4:14">
      <c r="E23" s="5" t="s">
        <v>38</v>
      </c>
      <c r="F23" s="6" t="s">
        <v>15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23">
        <f t="shared" ref="L23:L26" si="0">SUM(G23:K23)</f>
        <v>1</v>
      </c>
      <c r="M23" s="46" t="s">
        <v>49</v>
      </c>
      <c r="N23" s="19">
        <v>1</v>
      </c>
    </row>
    <row r="24" spans="4:14">
      <c r="F24" s="6" t="s">
        <v>16</v>
      </c>
      <c r="G24" s="8">
        <v>0</v>
      </c>
      <c r="H24" s="8">
        <v>0</v>
      </c>
      <c r="I24" s="8">
        <v>0</v>
      </c>
      <c r="J24" s="8">
        <v>1</v>
      </c>
      <c r="K24" s="8">
        <v>0</v>
      </c>
      <c r="L24" s="23">
        <f t="shared" si="0"/>
        <v>1</v>
      </c>
      <c r="M24" s="46" t="s">
        <v>49</v>
      </c>
      <c r="N24" s="19">
        <v>1</v>
      </c>
    </row>
    <row r="25" spans="4:14">
      <c r="F25" s="6" t="s">
        <v>22</v>
      </c>
      <c r="G25" s="8">
        <v>0</v>
      </c>
      <c r="H25" s="8">
        <v>0</v>
      </c>
      <c r="I25" s="8">
        <v>1</v>
      </c>
      <c r="J25" s="8">
        <v>0</v>
      </c>
      <c r="K25" s="8">
        <v>0</v>
      </c>
      <c r="L25" s="23">
        <f t="shared" si="0"/>
        <v>1</v>
      </c>
      <c r="M25" s="46" t="s">
        <v>49</v>
      </c>
      <c r="N25" s="19">
        <v>1</v>
      </c>
    </row>
    <row r="26" spans="4:14">
      <c r="F26" s="6" t="s">
        <v>30</v>
      </c>
      <c r="G26" s="8">
        <v>0</v>
      </c>
      <c r="H26" s="8">
        <v>0</v>
      </c>
      <c r="I26" s="8">
        <v>0</v>
      </c>
      <c r="J26" s="8">
        <v>0</v>
      </c>
      <c r="K26" s="8">
        <v>1</v>
      </c>
      <c r="L26" s="23">
        <f t="shared" si="0"/>
        <v>1</v>
      </c>
      <c r="M26" s="46" t="s">
        <v>49</v>
      </c>
      <c r="N26" s="19">
        <v>1</v>
      </c>
    </row>
    <row r="27" spans="4:14">
      <c r="F27" s="21" t="s">
        <v>48</v>
      </c>
      <c r="G27" s="21">
        <f>SUM(G22:G26)</f>
        <v>1</v>
      </c>
      <c r="H27" s="21">
        <f t="shared" ref="H27:K27" si="1">SUM(H22:H26)</f>
        <v>1</v>
      </c>
      <c r="I27" s="21">
        <f t="shared" si="1"/>
        <v>1</v>
      </c>
      <c r="J27" s="21">
        <f t="shared" si="1"/>
        <v>1</v>
      </c>
      <c r="K27" s="21">
        <f t="shared" si="1"/>
        <v>1</v>
      </c>
      <c r="L27" s="20">
        <f>SUMPRODUCT(G11:K15,G22:K26)</f>
        <v>57</v>
      </c>
    </row>
    <row r="28" spans="4:14">
      <c r="G28" s="46" t="s">
        <v>49</v>
      </c>
      <c r="H28" s="46" t="s">
        <v>49</v>
      </c>
      <c r="I28" s="46" t="s">
        <v>49</v>
      </c>
      <c r="J28" s="46" t="s">
        <v>49</v>
      </c>
      <c r="K28" s="46" t="s">
        <v>49</v>
      </c>
      <c r="L28" s="15"/>
      <c r="M28" s="11"/>
      <c r="N28" s="11"/>
    </row>
    <row r="29" spans="4:14">
      <c r="F29" s="19" t="s">
        <v>52</v>
      </c>
      <c r="G29" s="19">
        <v>1</v>
      </c>
      <c r="H29" s="19">
        <v>1</v>
      </c>
      <c r="I29" s="19">
        <v>1</v>
      </c>
      <c r="J29" s="19">
        <v>1</v>
      </c>
      <c r="K29" s="19">
        <v>1</v>
      </c>
      <c r="L29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'1'!solver_lhs3</vt:lpstr>
      <vt:lpstr>'1'!solver_lhs4</vt:lpstr>
      <vt:lpstr>'1'!solver_rhs3</vt:lpstr>
      <vt:lpstr>'1'!solver_rhs4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admin</cp:lastModifiedBy>
  <dcterms:created xsi:type="dcterms:W3CDTF">2024-03-12T08:07:00Z</dcterms:created>
  <dcterms:modified xsi:type="dcterms:W3CDTF">2025-10-12T15:12:38Z</dcterms:modified>
</cp:coreProperties>
</file>